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pierr\Downloads\"/>
    </mc:Choice>
  </mc:AlternateContent>
  <xr:revisionPtr revIDLastSave="0" documentId="13_ncr:1_{3C02E3B8-C7E2-40B8-8EB5-C8EEEA18AA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LÉGEN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6" roundtripDataChecksum="/4PKY573VMjvjasurV7/q1Tbo7kjJJYJLmKZFSbt/Mg="/>
    </ext>
  </extLst>
</workbook>
</file>

<file path=xl/calcChain.xml><?xml version="1.0" encoding="utf-8"?>
<calcChain xmlns="http://schemas.openxmlformats.org/spreadsheetml/2006/main">
  <c r="A6" i="1" l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</calcChain>
</file>

<file path=xl/sharedStrings.xml><?xml version="1.0" encoding="utf-8"?>
<sst xmlns="http://schemas.openxmlformats.org/spreadsheetml/2006/main" count="517" uniqueCount="220">
  <si>
    <t>METADATA</t>
  </si>
  <si>
    <t>INPUTS — Composition</t>
  </si>
  <si>
    <t>INPUTS — Cargo</t>
  </si>
  <si>
    <t>INPUTS — Microfluidics</t>
  </si>
  <si>
    <t>Technic</t>
  </si>
  <si>
    <t>OUTPUTS</t>
  </si>
  <si>
    <t>OPT.</t>
  </si>
  <si>
    <t>FLAGS</t>
  </si>
  <si>
    <t>ID</t>
  </si>
  <si>
    <t>Source</t>
  </si>
  <si>
    <t>DOI</t>
  </si>
  <si>
    <t>Year</t>
  </si>
  <si>
    <r>
      <rPr>
        <b/>
        <sz val="9"/>
        <color rgb="FF000000"/>
        <rFont val="Arial"/>
      </rPr>
      <t>Lipid (</t>
    </r>
    <r>
      <rPr>
        <b/>
        <u/>
        <sz val="9"/>
        <color rgb="FF000000"/>
        <rFont val="Arial"/>
      </rPr>
      <t>ionizable</t>
    </r>
    <r>
      <rPr>
        <b/>
        <sz val="9"/>
        <color rgb="FF000000"/>
        <rFont val="Arial"/>
      </rPr>
      <t>/cationic)</t>
    </r>
  </si>
  <si>
    <t>Ionizable mol%</t>
  </si>
  <si>
    <t>Helper Lipid</t>
  </si>
  <si>
    <t>Helper mol%</t>
  </si>
  <si>
    <t>Cholesterol mol%</t>
  </si>
  <si>
    <t>PEG-Lipid</t>
  </si>
  <si>
    <t>PEG-Lipid mol%</t>
  </si>
  <si>
    <t>Total Lipid Conc.</t>
  </si>
  <si>
    <t>Cargo Type</t>
  </si>
  <si>
    <t>Cargo Conc.</t>
  </si>
  <si>
    <t>N/P Ratio</t>
  </si>
  <si>
    <t>Aqueous Buffer</t>
  </si>
  <si>
    <t>Aqueous Solution</t>
  </si>
  <si>
    <t>pH Buffer</t>
  </si>
  <si>
    <t>mM Buffer</t>
  </si>
  <si>
    <t>FRR (aq:org)</t>
  </si>
  <si>
    <t>Total Flow Rate</t>
  </si>
  <si>
    <t>Technique_Enc</t>
  </si>
  <si>
    <t>Size (Z-avg)</t>
  </si>
  <si>
    <t>PDI</t>
  </si>
  <si>
    <t>Zeta Potential</t>
  </si>
  <si>
    <t>EE%</t>
  </si>
  <si>
    <t>pKa (apparent)</t>
  </si>
  <si>
    <t>Notes / Flags</t>
  </si>
  <si>
    <t>—</t>
  </si>
  <si>
    <t>YYYY</t>
  </si>
  <si>
    <t>categorical</t>
  </si>
  <si>
    <t>mol%</t>
  </si>
  <si>
    <t>mM</t>
  </si>
  <si>
    <t>µg/mL</t>
  </si>
  <si>
    <t>mL/min</t>
  </si>
  <si>
    <t>nm</t>
  </si>
  <si>
    <t>mV</t>
  </si>
  <si>
    <t>%</t>
  </si>
  <si>
    <t>DMG-PEG</t>
  </si>
  <si>
    <t>siRNA</t>
  </si>
  <si>
    <t>SM-102</t>
  </si>
  <si>
    <t>MC3</t>
  </si>
  <si>
    <t>DSPC</t>
  </si>
  <si>
    <t>0.19</t>
  </si>
  <si>
    <t>4.52</t>
  </si>
  <si>
    <t>0.16</t>
  </si>
  <si>
    <t>0.13</t>
  </si>
  <si>
    <t>0.14</t>
  </si>
  <si>
    <t>0.09</t>
  </si>
  <si>
    <t>0.11</t>
  </si>
  <si>
    <t>0.17</t>
  </si>
  <si>
    <t>0.095</t>
  </si>
  <si>
    <t>0.15</t>
  </si>
  <si>
    <t>0.12</t>
  </si>
  <si>
    <t>0.18</t>
  </si>
  <si>
    <t>1.13</t>
  </si>
  <si>
    <t>0.118</t>
  </si>
  <si>
    <t>78.6</t>
  </si>
  <si>
    <t>0.26</t>
  </si>
  <si>
    <t>80.7</t>
  </si>
  <si>
    <t>64.3</t>
  </si>
  <si>
    <t>82.8</t>
  </si>
  <si>
    <t>78.3</t>
  </si>
  <si>
    <t>68.9</t>
  </si>
  <si>
    <t>0.136</t>
  </si>
  <si>
    <t>0.154</t>
  </si>
  <si>
    <t>67.0</t>
  </si>
  <si>
    <t>83.7</t>
  </si>
  <si>
    <t>74.7</t>
  </si>
  <si>
    <t>0.114</t>
  </si>
  <si>
    <t>0.109</t>
  </si>
  <si>
    <t>63.1</t>
  </si>
  <si>
    <t>-3.48</t>
  </si>
  <si>
    <t>0.062</t>
  </si>
  <si>
    <t>0.121</t>
  </si>
  <si>
    <t>0.103</t>
  </si>
  <si>
    <t>0.116</t>
  </si>
  <si>
    <t>70.9</t>
  </si>
  <si>
    <t>75.8</t>
  </si>
  <si>
    <t>71.7</t>
  </si>
  <si>
    <t>0.065</t>
  </si>
  <si>
    <t>62.9</t>
  </si>
  <si>
    <t>72.6</t>
  </si>
  <si>
    <t>0.100</t>
  </si>
  <si>
    <t>72.9</t>
  </si>
  <si>
    <t>0.129</t>
  </si>
  <si>
    <t>0.079</t>
  </si>
  <si>
    <t>Citrate buffer 25 mM pH4</t>
  </si>
  <si>
    <t>68.7</t>
  </si>
  <si>
    <t>0.138</t>
  </si>
  <si>
    <t>-3.21</t>
  </si>
  <si>
    <t>88.0</t>
  </si>
  <si>
    <t>-0.84</t>
  </si>
  <si>
    <t>69.4</t>
  </si>
  <si>
    <t>0.197</t>
  </si>
  <si>
    <t>2.45</t>
  </si>
  <si>
    <t>82.1</t>
  </si>
  <si>
    <t>-4.56</t>
  </si>
  <si>
    <t>0.151</t>
  </si>
  <si>
    <t>3.78</t>
  </si>
  <si>
    <t>67.9</t>
  </si>
  <si>
    <t>85.2</t>
  </si>
  <si>
    <t>0.086</t>
  </si>
  <si>
    <t>-2.14</t>
  </si>
  <si>
    <t>0.171</t>
  </si>
  <si>
    <t>4.39</t>
  </si>
  <si>
    <t>-1.02</t>
  </si>
  <si>
    <t>0.054</t>
  </si>
  <si>
    <t>1.95</t>
  </si>
  <si>
    <t>70.1</t>
  </si>
  <si>
    <t>0.159</t>
  </si>
  <si>
    <t>-3.67</t>
  </si>
  <si>
    <t>86.8</t>
  </si>
  <si>
    <t>0.73</t>
  </si>
  <si>
    <t>76.2</t>
  </si>
  <si>
    <t>0.181</t>
  </si>
  <si>
    <t>2.61</t>
  </si>
  <si>
    <t>81.6</t>
  </si>
  <si>
    <t>0.073</t>
  </si>
  <si>
    <t>-4.28</t>
  </si>
  <si>
    <t>0.142</t>
  </si>
  <si>
    <t>3.33</t>
  </si>
  <si>
    <t>68.4</t>
  </si>
  <si>
    <t>-0.49</t>
  </si>
  <si>
    <t>87.5</t>
  </si>
  <si>
    <t>0.091</t>
  </si>
  <si>
    <t>1.28</t>
  </si>
  <si>
    <t>79.1</t>
  </si>
  <si>
    <t>0.168</t>
  </si>
  <si>
    <t>-2.82</t>
  </si>
  <si>
    <t>73.8</t>
  </si>
  <si>
    <t>0.126</t>
  </si>
  <si>
    <t>4.94</t>
  </si>
  <si>
    <t>84.3</t>
  </si>
  <si>
    <t>-1.53</t>
  </si>
  <si>
    <t>3.86</t>
  </si>
  <si>
    <t>75.4</t>
  </si>
  <si>
    <t>0.194</t>
  </si>
  <si>
    <t>-4.03</t>
  </si>
  <si>
    <t>69.1</t>
  </si>
  <si>
    <t>2.34</t>
  </si>
  <si>
    <t>-0.96</t>
  </si>
  <si>
    <t>77.2</t>
  </si>
  <si>
    <t>1.71</t>
  </si>
  <si>
    <t>80.3</t>
  </si>
  <si>
    <t>66.8</t>
  </si>
  <si>
    <t>0.088</t>
  </si>
  <si>
    <t>0.177</t>
  </si>
  <si>
    <t>85.9</t>
  </si>
  <si>
    <t>69.0</t>
  </si>
  <si>
    <t>0.123</t>
  </si>
  <si>
    <t>-1.11</t>
  </si>
  <si>
    <t>74.4</t>
  </si>
  <si>
    <t>65.5</t>
  </si>
  <si>
    <t>0.060</t>
  </si>
  <si>
    <t>0.64</t>
  </si>
  <si>
    <t>83.0</t>
  </si>
  <si>
    <t>61.8</t>
  </si>
  <si>
    <t>0.148</t>
  </si>
  <si>
    <t>2.97</t>
  </si>
  <si>
    <t>67.6</t>
  </si>
  <si>
    <t>-4.75</t>
  </si>
  <si>
    <t>66.1</t>
  </si>
  <si>
    <t>64.7</t>
  </si>
  <si>
    <t>65.9</t>
  </si>
  <si>
    <t>61.2</t>
  </si>
  <si>
    <t>0.10</t>
  </si>
  <si>
    <t>68.3</t>
  </si>
  <si>
    <t>63.6</t>
  </si>
  <si>
    <t>66.4</t>
  </si>
  <si>
    <t>62.5</t>
  </si>
  <si>
    <t>0.20</t>
  </si>
  <si>
    <t>64.0</t>
  </si>
  <si>
    <t>65.2</t>
  </si>
  <si>
    <t>63.0</t>
  </si>
  <si>
    <t>66.0</t>
  </si>
  <si>
    <t>67.3</t>
  </si>
  <si>
    <t>LÉGENDE — NanoOracle Dataset v3 (microfluidique uniquement, valeurs vérifiées)</t>
  </si>
  <si>
    <t>Colonne</t>
  </si>
  <si>
    <t>Description</t>
  </si>
  <si>
    <t>Ionizable Lipid</t>
  </si>
  <si>
    <t>Lipide ionisable. MC3 (pKa≈6.44), SM-102 (pKa≈6.68), ALC-0315 (pKa≈6.09), DODAP, DOTAP.</t>
  </si>
  <si>
    <t>Fraction molaire du lipide ionisable. Typiquement 35–50 mol%.</t>
  </si>
  <si>
    <t>DSPC (saturé, rigide) vs DOPE (insaturé, fusogène endosomal).</t>
  </si>
  <si>
    <t>Typiquement 10–20 mol%.</t>
  </si>
  <si>
    <t>Calculé par soustraction si non rapporté directement (=100-Ioniz-Helper-PEG).</t>
  </si>
  <si>
    <t>Lipide PEGylé. DMG-PEG2000 le plus courant dans les formulations approuvées.</t>
  </si>
  <si>
    <t>1.25–2.5 mol%. Variable la plus prédictive de la taille selon SHAP.</t>
  </si>
  <si>
    <t>Concentration totale en lipides dans la phase organique (mM). NR si non rapporté.</t>
  </si>
  <si>
    <t>siRNA, mRNA, saRNA, pDNA.</t>
  </si>
  <si>
    <t>Concentration du cargo en µg/mL. NR si non rapporté explicitement.</t>
  </si>
  <si>
    <t>Rapport molaire N (lipide ionisable) / P (phosphate cargo). Ou masse/masse si wt/wt.</t>
  </si>
  <si>
    <t>Buffer de la phase aqueuse. Souvent Na-acétate ou citrate à pH acide (3.0–5.0).</t>
  </si>
  <si>
    <t>Flow Rate Ratio = débit aqueux / débit organique. Typiquement 3:1.</t>
  </si>
  <si>
    <t>Débit total en mL/min. Impacte la taille.</t>
  </si>
  <si>
    <t>--- OUTPUTS ---</t>
  </si>
  <si>
    <t>Diamètre hydrodynamique moyen par DLS (Z-average) en nm. Valeur approximative si '~'.</t>
  </si>
  <si>
    <t>Polydispersity Index. &lt;0.2 = acceptable. NR si non rapporté.</t>
  </si>
  <si>
    <t>mV. NR si non rapporté.</t>
  </si>
  <si>
    <t>Encapsulation Efficiency. % de cargo encapsulé (RiboGreen ou Quant-iT).</t>
  </si>
  <si>
    <t>pKa du lipide ionisable. Valeur littérature pour les lipides commerciaux.</t>
  </si>
  <si>
    <t>--- FLAGS ---</t>
  </si>
  <si>
    <t>NR</t>
  </si>
  <si>
    <t>Not Reported : valeur non mentionnée explicitement dans le texte du papier.</t>
  </si>
  <si>
    <t>~</t>
  </si>
  <si>
    <t>Valeur approximative extraite du texte ('around 100nm', '&gt;85%').</t>
  </si>
  <si>
    <t>⚠ Non-standard lipidoid</t>
  </si>
  <si>
    <t>Lipidoïde synthétisé en laboratoire. Pas de pKa/descripteur standard disponible.</t>
  </si>
  <si>
    <t>❌ EXCLU</t>
  </si>
  <si>
    <t>Papier exclu du dataset car méthode de production non-microfluidique.</t>
  </si>
  <si>
    <t>🔒 VALIDATION</t>
  </si>
  <si>
    <t>Données de validation indépendantes — ne jamais inclure dans l'entraînement.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</si>
</sst>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scheme val="minor"/>
    </font>
    <font>
      <b/>
      <sz val="9"/>
      <color rgb="FF000000"/>
      <name val="Arial"/>
    </font>
    <font>
      <sz val="11"/>
      <name val="Calibri"/>
    </font>
    <font>
      <b/>
      <sz val="9"/>
      <color rgb="FFFFFFFF"/>
      <name val="Arial"/>
    </font>
    <font>
      <i/>
      <sz val="8"/>
      <color rgb="FF000000"/>
      <name val="Arial"/>
    </font>
    <font>
      <i/>
      <sz val="8"/>
      <color rgb="FFEEEEEE"/>
      <name val="Arial"/>
    </font>
    <font>
      <sz val="9"/>
      <color rgb="FF000000"/>
      <name val="Arial"/>
    </font>
    <font>
      <sz val="11"/>
      <color rgb="FF000000"/>
      <name val="Calibri"/>
    </font>
    <font>
      <sz val="11"/>
      <color theme="1"/>
      <name val="Calibri"/>
      <scheme val="minor"/>
    </font>
    <font>
      <sz val="9"/>
      <color theme="1"/>
      <name val="Arial"/>
    </font>
    <font>
      <sz val="11"/>
      <color rgb="FF000000"/>
      <name val="&quot;Aptos Narrow&quot;"/>
    </font>
    <font>
      <sz val="11"/>
      <color rgb="FF0000FF"/>
      <name val="Calibri"/>
      <scheme val="minor"/>
    </font>
    <font>
      <b/>
      <sz val="11"/>
      <color rgb="FF000000"/>
      <name val="&quot;Aptos Narrow&quot;"/>
    </font>
    <font>
      <b/>
      <sz val="10"/>
      <color rgb="FFFFFFFF"/>
      <name val="Arial"/>
    </font>
    <font>
      <b/>
      <sz val="9"/>
      <color theme="1"/>
      <name val="Arial"/>
    </font>
    <font>
      <b/>
      <u/>
      <sz val="9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4A3B6B"/>
        <bgColor rgb="FF4A3B6B"/>
      </patternFill>
    </fill>
    <fill>
      <patternFill patternType="solid">
        <fgColor rgb="FF1A3A5C"/>
        <bgColor rgb="FF1A3A5C"/>
      </patternFill>
    </fill>
    <fill>
      <patternFill patternType="solid">
        <fgColor rgb="FF0F6E56"/>
        <bgColor rgb="FF0F6E56"/>
      </patternFill>
    </fill>
    <fill>
      <patternFill patternType="solid">
        <fgColor rgb="FFF4F8FC"/>
        <bgColor rgb="FFF4F8FC"/>
      </patternFill>
    </fill>
    <fill>
      <patternFill patternType="solid">
        <fgColor rgb="FFD6F0E8"/>
        <bgColor rgb="FFD6F0E8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FFF3CD"/>
        <bgColor rgb="FFFFF3CD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right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right" vertical="center"/>
    </xf>
    <xf numFmtId="0" fontId="5" fillId="3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10" fillId="0" borderId="0" xfId="0" applyFont="1" applyAlignme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1" fillId="0" borderId="0" xfId="0" applyFont="1"/>
    <xf numFmtId="0" fontId="12" fillId="0" borderId="0" xfId="0" applyFont="1" applyAlignment="1">
      <alignment horizontal="right"/>
    </xf>
    <xf numFmtId="0" fontId="8" fillId="0" borderId="0" xfId="0" applyFont="1" applyAlignment="1"/>
    <xf numFmtId="0" fontId="8" fillId="0" borderId="0" xfId="0" applyFont="1" applyAlignment="1">
      <alignment horizontal="right"/>
    </xf>
    <xf numFmtId="0" fontId="14" fillId="8" borderId="5" xfId="0" applyFont="1" applyFill="1" applyBorder="1" applyAlignment="1">
      <alignment horizontal="left" vertical="center" wrapText="1"/>
    </xf>
    <xf numFmtId="0" fontId="9" fillId="8" borderId="5" xfId="0" applyFont="1" applyFill="1" applyBorder="1" applyAlignment="1">
      <alignment horizontal="left" vertical="center" wrapText="1"/>
    </xf>
    <xf numFmtId="0" fontId="14" fillId="7" borderId="5" xfId="0" applyFont="1" applyFill="1" applyBorder="1" applyAlignment="1">
      <alignment horizontal="left" vertical="center" wrapText="1"/>
    </xf>
    <xf numFmtId="0" fontId="9" fillId="7" borderId="5" xfId="0" applyFont="1" applyFill="1" applyBorder="1" applyAlignment="1">
      <alignment horizontal="left" vertical="center" wrapText="1"/>
    </xf>
    <xf numFmtId="0" fontId="14" fillId="6" borderId="5" xfId="0" applyFont="1" applyFill="1" applyBorder="1" applyAlignment="1">
      <alignment horizontal="left" vertical="center" wrapText="1"/>
    </xf>
    <xf numFmtId="0" fontId="14" fillId="9" borderId="5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5"/>
  <sheetViews>
    <sheetView tabSelected="1" zoomScaleNormal="100" workbookViewId="0">
      <pane xSplit="1" ySplit="3" topLeftCell="B44" activePane="bottomRight" state="frozen"/>
      <selection pane="topRight" activeCell="B1" sqref="B1"/>
      <selection pane="bottomLeft" activeCell="A4" sqref="A4"/>
      <selection pane="bottomRight" activeCell="B53" sqref="B53"/>
    </sheetView>
  </sheetViews>
  <sheetFormatPr baseColWidth="10" defaultColWidth="14.44140625" defaultRowHeight="15" customHeight="1"/>
  <cols>
    <col min="1" max="1" width="6" customWidth="1"/>
    <col min="2" max="2" width="28" customWidth="1"/>
    <col min="3" max="3" width="32" customWidth="1"/>
    <col min="4" max="4" width="7" customWidth="1"/>
    <col min="5" max="5" width="18" customWidth="1"/>
    <col min="6" max="6" width="14" customWidth="1"/>
    <col min="7" max="7" width="18" customWidth="1"/>
    <col min="8" max="8" width="14" customWidth="1"/>
    <col min="9" max="9" width="13" customWidth="1"/>
    <col min="10" max="10" width="18" customWidth="1"/>
    <col min="11" max="11" width="13" customWidth="1"/>
    <col min="12" max="14" width="14" customWidth="1"/>
    <col min="15" max="15" width="10" customWidth="1"/>
    <col min="16" max="19" width="39.44140625" customWidth="1"/>
    <col min="20" max="20" width="13" customWidth="1"/>
    <col min="21" max="22" width="14" customWidth="1"/>
    <col min="23" max="23" width="12" customWidth="1"/>
    <col min="24" max="24" width="10" customWidth="1"/>
    <col min="25" max="25" width="13" customWidth="1"/>
    <col min="26" max="26" width="14" customWidth="1"/>
    <col min="27" max="27" width="12" customWidth="1"/>
    <col min="28" max="28" width="35" customWidth="1"/>
    <col min="29" max="32" width="9.109375" customWidth="1"/>
  </cols>
  <sheetData>
    <row r="1" spans="1:28" ht="15.75" customHeight="1">
      <c r="A1" s="33" t="s">
        <v>0</v>
      </c>
      <c r="B1" s="34"/>
      <c r="C1" s="34"/>
      <c r="D1" s="35"/>
      <c r="E1" s="36" t="s">
        <v>1</v>
      </c>
      <c r="F1" s="34"/>
      <c r="G1" s="34"/>
      <c r="H1" s="34"/>
      <c r="I1" s="34"/>
      <c r="J1" s="34"/>
      <c r="K1" s="34"/>
      <c r="L1" s="35"/>
      <c r="M1" s="37" t="s">
        <v>2</v>
      </c>
      <c r="N1" s="34"/>
      <c r="O1" s="35"/>
      <c r="P1" s="37" t="s">
        <v>3</v>
      </c>
      <c r="Q1" s="34"/>
      <c r="R1" s="34"/>
      <c r="S1" s="34"/>
      <c r="T1" s="34"/>
      <c r="U1" s="35"/>
      <c r="V1" s="1" t="s">
        <v>4</v>
      </c>
      <c r="W1" s="38" t="s">
        <v>5</v>
      </c>
      <c r="X1" s="34"/>
      <c r="Y1" s="34"/>
      <c r="Z1" s="35"/>
      <c r="AA1" s="2" t="s">
        <v>6</v>
      </c>
      <c r="AB1" s="3" t="s">
        <v>7</v>
      </c>
    </row>
    <row r="2" spans="1:28" ht="43.5" customHeight="1">
      <c r="A2" s="4" t="s">
        <v>8</v>
      </c>
      <c r="B2" s="4" t="s">
        <v>9</v>
      </c>
      <c r="C2" s="4" t="s">
        <v>10</v>
      </c>
      <c r="D2" s="4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  <c r="M2" s="6" t="s">
        <v>20</v>
      </c>
      <c r="N2" s="6" t="s">
        <v>21</v>
      </c>
      <c r="O2" s="6" t="s">
        <v>22</v>
      </c>
      <c r="P2" s="6" t="s">
        <v>23</v>
      </c>
      <c r="Q2" s="7" t="s">
        <v>24</v>
      </c>
      <c r="R2" s="8" t="s">
        <v>25</v>
      </c>
      <c r="S2" s="7" t="s">
        <v>26</v>
      </c>
      <c r="T2" s="6" t="s">
        <v>27</v>
      </c>
      <c r="U2" s="6" t="s">
        <v>28</v>
      </c>
      <c r="V2" s="7" t="s">
        <v>29</v>
      </c>
      <c r="W2" s="9" t="s">
        <v>30</v>
      </c>
      <c r="X2" s="9" t="s">
        <v>31</v>
      </c>
      <c r="Y2" s="9" t="s">
        <v>32</v>
      </c>
      <c r="Z2" s="9" t="s">
        <v>33</v>
      </c>
      <c r="AA2" s="6" t="s">
        <v>34</v>
      </c>
      <c r="AB2" s="10" t="s">
        <v>35</v>
      </c>
    </row>
    <row r="3" spans="1:28" ht="15" customHeight="1">
      <c r="A3" s="11" t="s">
        <v>36</v>
      </c>
      <c r="B3" s="11" t="s">
        <v>36</v>
      </c>
      <c r="C3" s="11" t="s">
        <v>36</v>
      </c>
      <c r="D3" s="11" t="s">
        <v>37</v>
      </c>
      <c r="E3" s="12" t="s">
        <v>38</v>
      </c>
      <c r="F3" s="12" t="s">
        <v>39</v>
      </c>
      <c r="G3" s="12" t="s">
        <v>38</v>
      </c>
      <c r="H3" s="12" t="s">
        <v>39</v>
      </c>
      <c r="I3" s="12" t="s">
        <v>39</v>
      </c>
      <c r="J3" s="12" t="s">
        <v>38</v>
      </c>
      <c r="K3" s="12" t="s">
        <v>39</v>
      </c>
      <c r="L3" s="12" t="s">
        <v>40</v>
      </c>
      <c r="M3" s="13" t="s">
        <v>38</v>
      </c>
      <c r="N3" s="13" t="s">
        <v>41</v>
      </c>
      <c r="O3" s="13" t="s">
        <v>36</v>
      </c>
      <c r="P3" s="13" t="s">
        <v>38</v>
      </c>
      <c r="Q3" s="13"/>
      <c r="R3" s="14"/>
      <c r="S3" s="13"/>
      <c r="T3" s="13" t="s">
        <v>36</v>
      </c>
      <c r="U3" s="13" t="s">
        <v>42</v>
      </c>
      <c r="V3" s="15" t="s">
        <v>38</v>
      </c>
      <c r="W3" s="16" t="s">
        <v>43</v>
      </c>
      <c r="X3" s="16" t="s">
        <v>36</v>
      </c>
      <c r="Y3" s="16" t="s">
        <v>44</v>
      </c>
      <c r="Z3" s="16" t="s">
        <v>45</v>
      </c>
      <c r="AA3" s="13" t="s">
        <v>36</v>
      </c>
      <c r="AB3" s="17" t="s">
        <v>36</v>
      </c>
    </row>
    <row r="4" spans="1:28" ht="18" customHeight="1">
      <c r="A4">
        <v>1</v>
      </c>
      <c r="E4" s="20" t="s">
        <v>49</v>
      </c>
      <c r="F4" s="21">
        <v>50</v>
      </c>
      <c r="G4" s="20" t="s">
        <v>50</v>
      </c>
      <c r="H4" s="21">
        <v>10</v>
      </c>
      <c r="I4" s="22">
        <v>38.5</v>
      </c>
      <c r="J4" s="20" t="s">
        <v>46</v>
      </c>
      <c r="K4" s="21">
        <v>2.5</v>
      </c>
      <c r="L4" s="21">
        <v>10</v>
      </c>
      <c r="M4" s="21" t="s">
        <v>47</v>
      </c>
      <c r="O4" s="25">
        <v>6</v>
      </c>
      <c r="P4" s="20" t="s">
        <v>95</v>
      </c>
      <c r="Q4" s="18" t="str">
        <f ca="1">IFERROR(__xludf.DUMMYFUNCTION("IF(P336="""","""",IF(REGEXMATCH(UPPER(P336),""CITRATE""),""Citrate"",IF(REGEXMATCH(UPPER(P336),""ACETATE""),""Sodium Acetate"",IF(REGEXMATCH(UPPER(P336),""PBS""),""PBS"",IF(REGEXMATCH(UPPER(P336),""TRIS""),""Tris"",IF(REGEXMATCH(UPPER(P336),""HEPES""),""H"&amp;"EPES"",IF(REGEXMATCH(UPPER(P336),""HISTIDINE""),""Histidine"",IF(REGEXMATCH(UPPER(P336),""SUCCINATE""),""Succinate"",IF(REGEXMATCH(UPPER(P336),""GLYCINE""),""Glycine"",P336)))))))))"),"Citrate")</f>
        <v>Citrate</v>
      </c>
      <c r="R4" s="19">
        <v>4</v>
      </c>
      <c r="S4" s="19">
        <v>25</v>
      </c>
      <c r="T4" s="22">
        <v>8</v>
      </c>
      <c r="U4" s="22">
        <v>18</v>
      </c>
      <c r="W4" s="21">
        <v>61.4</v>
      </c>
      <c r="X4" s="21" t="s">
        <v>97</v>
      </c>
      <c r="Y4" s="21" t="s">
        <v>98</v>
      </c>
      <c r="Z4" s="21" t="s">
        <v>99</v>
      </c>
    </row>
    <row r="5" spans="1:28" ht="18" customHeight="1">
      <c r="A5">
        <f>A4+1</f>
        <v>2</v>
      </c>
      <c r="E5" s="20" t="s">
        <v>48</v>
      </c>
      <c r="F5" s="21">
        <v>50</v>
      </c>
      <c r="G5" s="20" t="s">
        <v>50</v>
      </c>
      <c r="H5" s="21">
        <v>10</v>
      </c>
      <c r="I5" s="22">
        <v>38.5</v>
      </c>
      <c r="J5" s="20" t="s">
        <v>46</v>
      </c>
      <c r="K5" s="21">
        <v>2.5</v>
      </c>
      <c r="L5" s="21">
        <v>10</v>
      </c>
      <c r="M5" s="21" t="s">
        <v>47</v>
      </c>
      <c r="O5" s="25">
        <v>6</v>
      </c>
      <c r="P5" s="20" t="s">
        <v>95</v>
      </c>
      <c r="Q5" s="18" t="str">
        <f ca="1">IFERROR(__xludf.DUMMYFUNCTION("IF(P337="""","""",IF(REGEXMATCH(UPPER(P337),""CITRATE""),""Citrate"",IF(REGEXMATCH(UPPER(P337),""ACETATE""),""Sodium Acetate"",IF(REGEXMATCH(UPPER(P337),""PBS""),""PBS"",IF(REGEXMATCH(UPPER(P337),""TRIS""),""Tris"",IF(REGEXMATCH(UPPER(P337),""HEPES""),""H"&amp;"EPES"",IF(REGEXMATCH(UPPER(P337),""HISTIDINE""),""Histidine"",IF(REGEXMATCH(UPPER(P337),""SUCCINATE""),""Succinate"",IF(REGEXMATCH(UPPER(P337),""GLYCINE""),""Glycine"",P337)))))))))"),"Citrate")</f>
        <v>Citrate</v>
      </c>
      <c r="R5" s="19">
        <v>4</v>
      </c>
      <c r="S5" s="19">
        <v>25</v>
      </c>
      <c r="T5" s="24">
        <v>8</v>
      </c>
      <c r="U5" s="24">
        <v>18</v>
      </c>
      <c r="W5" s="21">
        <v>76.2</v>
      </c>
      <c r="X5" s="21" t="s">
        <v>59</v>
      </c>
      <c r="Y5" s="21" t="s">
        <v>63</v>
      </c>
      <c r="Z5" s="21" t="s">
        <v>67</v>
      </c>
    </row>
    <row r="6" spans="1:28" ht="18" customHeight="1">
      <c r="A6">
        <f t="shared" ref="A6:A55" si="0">A5+1</f>
        <v>3</v>
      </c>
      <c r="E6" s="20" t="s">
        <v>49</v>
      </c>
      <c r="F6" s="21">
        <v>50</v>
      </c>
      <c r="G6" s="20" t="s">
        <v>50</v>
      </c>
      <c r="H6" s="21">
        <v>10</v>
      </c>
      <c r="I6" s="22">
        <v>38.5</v>
      </c>
      <c r="J6" s="20" t="s">
        <v>46</v>
      </c>
      <c r="K6" s="21">
        <v>2.5</v>
      </c>
      <c r="L6" s="21">
        <v>10</v>
      </c>
      <c r="M6" s="21" t="s">
        <v>47</v>
      </c>
      <c r="O6" s="25">
        <v>6</v>
      </c>
      <c r="P6" s="20" t="s">
        <v>95</v>
      </c>
      <c r="Q6" s="18" t="str">
        <f ca="1">IFERROR(__xludf.DUMMYFUNCTION("IF(P338="""","""",IF(REGEXMATCH(UPPER(P338),""CITRATE""),""Citrate"",IF(REGEXMATCH(UPPER(P338),""ACETATE""),""Sodium Acetate"",IF(REGEXMATCH(UPPER(P338),""PBS""),""PBS"",IF(REGEXMATCH(UPPER(P338),""TRIS""),""Tris"",IF(REGEXMATCH(UPPER(P338),""HEPES""),""H"&amp;"EPES"",IF(REGEXMATCH(UPPER(P338),""HISTIDINE""),""Histidine"",IF(REGEXMATCH(UPPER(P338),""SUCCINATE""),""Succinate"",IF(REGEXMATCH(UPPER(P338),""GLYCINE""),""Glycine"",P338)))))))))"),"Citrate")</f>
        <v>Citrate</v>
      </c>
      <c r="R6" s="19">
        <v>4</v>
      </c>
      <c r="S6" s="19">
        <v>25</v>
      </c>
      <c r="T6" s="24">
        <v>3</v>
      </c>
      <c r="U6" s="24">
        <v>10</v>
      </c>
      <c r="W6" s="21">
        <v>75</v>
      </c>
      <c r="X6" s="21" t="s">
        <v>82</v>
      </c>
      <c r="Y6" s="21" t="s">
        <v>100</v>
      </c>
      <c r="Z6" s="21" t="s">
        <v>101</v>
      </c>
    </row>
    <row r="7" spans="1:28" ht="18" customHeight="1">
      <c r="A7">
        <f t="shared" si="0"/>
        <v>4</v>
      </c>
      <c r="E7" s="20" t="s">
        <v>49</v>
      </c>
      <c r="F7" s="21">
        <v>50</v>
      </c>
      <c r="G7" s="20" t="s">
        <v>50</v>
      </c>
      <c r="H7" s="21">
        <v>10</v>
      </c>
      <c r="I7" s="22">
        <v>38.5</v>
      </c>
      <c r="J7" s="20" t="s">
        <v>46</v>
      </c>
      <c r="K7" s="21">
        <v>2.5</v>
      </c>
      <c r="L7" s="21">
        <v>10</v>
      </c>
      <c r="M7" s="21" t="s">
        <v>47</v>
      </c>
      <c r="O7" s="25">
        <v>6</v>
      </c>
      <c r="P7" s="20" t="s">
        <v>95</v>
      </c>
      <c r="Q7" s="18" t="str">
        <f ca="1">IFERROR(__xludf.DUMMYFUNCTION("IF(P339="""","""",IF(REGEXMATCH(UPPER(P339),""CITRATE""),""Citrate"",IF(REGEXMATCH(UPPER(P339),""ACETATE""),""Sodium Acetate"",IF(REGEXMATCH(UPPER(P339),""PBS""),""PBS"",IF(REGEXMATCH(UPPER(P339),""TRIS""),""Tris"",IF(REGEXMATCH(UPPER(P339),""HEPES""),""H"&amp;"EPES"",IF(REGEXMATCH(UPPER(P339),""HISTIDINE""),""Histidine"",IF(REGEXMATCH(UPPER(P339),""SUCCINATE""),""Succinate"",IF(REGEXMATCH(UPPER(P339),""GLYCINE""),""Glycine"",P339)))))))))"),"Citrate")</f>
        <v>Citrate</v>
      </c>
      <c r="R7" s="19">
        <v>4</v>
      </c>
      <c r="S7" s="19">
        <v>25</v>
      </c>
      <c r="T7" s="22">
        <v>3</v>
      </c>
      <c r="U7" s="22">
        <v>10</v>
      </c>
      <c r="W7" s="21">
        <v>82.8</v>
      </c>
      <c r="X7" s="21" t="s">
        <v>102</v>
      </c>
      <c r="Y7" s="21" t="s">
        <v>103</v>
      </c>
      <c r="Z7" s="21" t="s">
        <v>104</v>
      </c>
    </row>
    <row r="8" spans="1:28" ht="18" customHeight="1">
      <c r="A8">
        <f t="shared" si="0"/>
        <v>5</v>
      </c>
      <c r="E8" s="20" t="s">
        <v>49</v>
      </c>
      <c r="F8" s="21">
        <v>50</v>
      </c>
      <c r="G8" s="20" t="s">
        <v>50</v>
      </c>
      <c r="H8" s="21">
        <v>10</v>
      </c>
      <c r="I8" s="22">
        <v>38.5</v>
      </c>
      <c r="J8" s="20" t="s">
        <v>46</v>
      </c>
      <c r="K8" s="21">
        <v>2.5</v>
      </c>
      <c r="L8" s="21">
        <v>10</v>
      </c>
      <c r="M8" s="21" t="s">
        <v>47</v>
      </c>
      <c r="O8" s="25">
        <v>6</v>
      </c>
      <c r="P8" s="20" t="s">
        <v>95</v>
      </c>
      <c r="Q8" s="18" t="str">
        <f ca="1">IFERROR(__xludf.DUMMYFUNCTION("IF(P340="""","""",IF(REGEXMATCH(UPPER(P340),""CITRATE""),""Citrate"",IF(REGEXMATCH(UPPER(P340),""ACETATE""),""Sodium Acetate"",IF(REGEXMATCH(UPPER(P340),""PBS""),""PBS"",IF(REGEXMATCH(UPPER(P340),""TRIS""),""Tris"",IF(REGEXMATCH(UPPER(P340),""HEPES""),""H"&amp;"EPES"",IF(REGEXMATCH(UPPER(P340),""HISTIDINE""),""Histidine"",IF(REGEXMATCH(UPPER(P340),""SUCCINATE""),""Succinate"",IF(REGEXMATCH(UPPER(P340),""GLYCINE""),""Glycine"",P340)))))))))"),"Citrate")</f>
        <v>Citrate</v>
      </c>
      <c r="R8" s="19">
        <v>4</v>
      </c>
      <c r="S8" s="19">
        <v>25</v>
      </c>
      <c r="T8" s="24">
        <v>3</v>
      </c>
      <c r="U8" s="24">
        <v>10</v>
      </c>
      <c r="W8" s="21">
        <v>71</v>
      </c>
      <c r="X8" s="21" t="s">
        <v>81</v>
      </c>
      <c r="Y8" s="21" t="s">
        <v>105</v>
      </c>
      <c r="Z8" s="21" t="s">
        <v>86</v>
      </c>
    </row>
    <row r="9" spans="1:28" ht="18" customHeight="1">
      <c r="A9">
        <f t="shared" si="0"/>
        <v>6</v>
      </c>
      <c r="E9" s="20" t="s">
        <v>48</v>
      </c>
      <c r="F9" s="21">
        <v>50</v>
      </c>
      <c r="G9" s="20" t="s">
        <v>50</v>
      </c>
      <c r="H9" s="21">
        <v>10</v>
      </c>
      <c r="I9" s="22">
        <v>38.5</v>
      </c>
      <c r="J9" s="20" t="s">
        <v>46</v>
      </c>
      <c r="K9" s="21">
        <v>2.5</v>
      </c>
      <c r="L9" s="21">
        <v>10</v>
      </c>
      <c r="M9" s="21" t="s">
        <v>47</v>
      </c>
      <c r="O9" s="25">
        <v>6</v>
      </c>
      <c r="P9" s="20" t="s">
        <v>95</v>
      </c>
      <c r="Q9" s="18" t="str">
        <f ca="1">IFERROR(__xludf.DUMMYFUNCTION("IF(P341="""","""",IF(REGEXMATCH(UPPER(P341),""CITRATE""),""Citrate"",IF(REGEXMATCH(UPPER(P341),""ACETATE""),""Sodium Acetate"",IF(REGEXMATCH(UPPER(P341),""PBS""),""PBS"",IF(REGEXMATCH(UPPER(P341),""TRIS""),""Tris"",IF(REGEXMATCH(UPPER(P341),""HEPES""),""H"&amp;"EPES"",IF(REGEXMATCH(UPPER(P341),""HISTIDINE""),""Histidine"",IF(REGEXMATCH(UPPER(P341),""SUCCINATE""),""Succinate"",IF(REGEXMATCH(UPPER(P341),""GLYCINE""),""Glycine"",P341)))))))))"),"Citrate")</f>
        <v>Citrate</v>
      </c>
      <c r="R9" s="19">
        <v>4</v>
      </c>
      <c r="S9" s="19">
        <v>25</v>
      </c>
      <c r="T9" s="22">
        <v>3</v>
      </c>
      <c r="U9" s="22">
        <v>10</v>
      </c>
      <c r="W9" s="21">
        <v>77.3</v>
      </c>
      <c r="X9" s="21" t="s">
        <v>106</v>
      </c>
      <c r="Y9" s="21" t="s">
        <v>107</v>
      </c>
      <c r="Z9" s="21" t="s">
        <v>108</v>
      </c>
    </row>
    <row r="10" spans="1:28" ht="18" customHeight="1">
      <c r="A10">
        <f t="shared" si="0"/>
        <v>7</v>
      </c>
      <c r="E10" s="20" t="s">
        <v>49</v>
      </c>
      <c r="F10" s="21">
        <v>50</v>
      </c>
      <c r="G10" s="20" t="s">
        <v>50</v>
      </c>
      <c r="H10" s="21">
        <v>10</v>
      </c>
      <c r="I10" s="22">
        <v>38.5</v>
      </c>
      <c r="J10" s="20" t="s">
        <v>46</v>
      </c>
      <c r="K10" s="21">
        <v>2.5</v>
      </c>
      <c r="L10" s="21">
        <v>10</v>
      </c>
      <c r="M10" s="21" t="s">
        <v>47</v>
      </c>
      <c r="O10" s="25">
        <v>6</v>
      </c>
      <c r="P10" s="20" t="s">
        <v>95</v>
      </c>
      <c r="Q10" s="18" t="str">
        <f ca="1">IFERROR(__xludf.DUMMYFUNCTION("IF(P342="""","""",IF(REGEXMATCH(UPPER(P342),""CITRATE""),""Citrate"",IF(REGEXMATCH(UPPER(P342),""ACETATE""),""Sodium Acetate"",IF(REGEXMATCH(UPPER(P342),""PBS""),""PBS"",IF(REGEXMATCH(UPPER(P342),""TRIS""),""Tris"",IF(REGEXMATCH(UPPER(P342),""HEPES""),""H"&amp;"EPES"",IF(REGEXMATCH(UPPER(P342),""HISTIDINE""),""Histidine"",IF(REGEXMATCH(UPPER(P342),""SUCCINATE""),""Succinate"",IF(REGEXMATCH(UPPER(P342),""GLYCINE""),""Glycine"",P342)))))))))"),"Citrate")</f>
        <v>Citrate</v>
      </c>
      <c r="R10" s="19">
        <v>4</v>
      </c>
      <c r="S10" s="19">
        <v>25</v>
      </c>
      <c r="T10" s="24">
        <v>3</v>
      </c>
      <c r="U10" s="24">
        <v>10</v>
      </c>
      <c r="W10" s="21">
        <v>74.8</v>
      </c>
      <c r="X10" s="21" t="s">
        <v>64</v>
      </c>
      <c r="Y10" s="21" t="s">
        <v>66</v>
      </c>
      <c r="Z10" s="21" t="s">
        <v>109</v>
      </c>
    </row>
    <row r="11" spans="1:28" ht="18" customHeight="1">
      <c r="A11">
        <f t="shared" si="0"/>
        <v>8</v>
      </c>
      <c r="E11" s="20" t="s">
        <v>48</v>
      </c>
      <c r="F11" s="21">
        <v>50</v>
      </c>
      <c r="G11" s="20" t="s">
        <v>50</v>
      </c>
      <c r="H11" s="21">
        <v>10</v>
      </c>
      <c r="I11" s="22">
        <v>38.5</v>
      </c>
      <c r="J11" s="20" t="s">
        <v>46</v>
      </c>
      <c r="K11" s="21">
        <v>2.5</v>
      </c>
      <c r="L11" s="21">
        <v>10</v>
      </c>
      <c r="M11" s="21" t="s">
        <v>47</v>
      </c>
      <c r="O11" s="25">
        <v>6</v>
      </c>
      <c r="P11" s="20" t="s">
        <v>95</v>
      </c>
      <c r="Q11" s="18" t="str">
        <f ca="1">IFERROR(__xludf.DUMMYFUNCTION("IF(P343="""","""",IF(REGEXMATCH(UPPER(P343),""CITRATE""),""Citrate"",IF(REGEXMATCH(UPPER(P343),""ACETATE""),""Sodium Acetate"",IF(REGEXMATCH(UPPER(P343),""PBS""),""PBS"",IF(REGEXMATCH(UPPER(P343),""TRIS""),""Tris"",IF(REGEXMATCH(UPPER(P343),""HEPES""),""H"&amp;"EPES"",IF(REGEXMATCH(UPPER(P343),""HISTIDINE""),""Histidine"",IF(REGEXMATCH(UPPER(P343),""SUCCINATE""),""Succinate"",IF(REGEXMATCH(UPPER(P343),""GLYCINE""),""Glycine"",P343)))))))))"),"Citrate")</f>
        <v>Citrate</v>
      </c>
      <c r="R11" s="19">
        <v>4</v>
      </c>
      <c r="S11" s="19">
        <v>25</v>
      </c>
      <c r="T11" s="22">
        <v>3</v>
      </c>
      <c r="U11" s="22">
        <v>10</v>
      </c>
      <c r="W11" s="21">
        <v>80.2</v>
      </c>
      <c r="X11" s="21" t="s">
        <v>110</v>
      </c>
      <c r="Y11" s="21" t="s">
        <v>111</v>
      </c>
      <c r="Z11" s="21" t="s">
        <v>70</v>
      </c>
    </row>
    <row r="12" spans="1:28" ht="18" customHeight="1">
      <c r="A12">
        <f t="shared" si="0"/>
        <v>9</v>
      </c>
      <c r="E12" s="20" t="s">
        <v>49</v>
      </c>
      <c r="F12" s="21">
        <v>50</v>
      </c>
      <c r="G12" s="20" t="s">
        <v>50</v>
      </c>
      <c r="H12" s="21">
        <v>10</v>
      </c>
      <c r="I12" s="22">
        <v>38.5</v>
      </c>
      <c r="J12" s="20" t="s">
        <v>46</v>
      </c>
      <c r="K12" s="21">
        <v>2.5</v>
      </c>
      <c r="L12" s="21">
        <v>10</v>
      </c>
      <c r="M12" s="21" t="s">
        <v>47</v>
      </c>
      <c r="O12" s="25">
        <v>6</v>
      </c>
      <c r="P12" s="20" t="s">
        <v>95</v>
      </c>
      <c r="Q12" s="18" t="str">
        <f ca="1">IFERROR(__xludf.DUMMYFUNCTION("IF(P344="""","""",IF(REGEXMATCH(UPPER(P344),""CITRATE""),""Citrate"",IF(REGEXMATCH(UPPER(P344),""ACETATE""),""Sodium Acetate"",IF(REGEXMATCH(UPPER(P344),""PBS""),""PBS"",IF(REGEXMATCH(UPPER(P344),""TRIS""),""Tris"",IF(REGEXMATCH(UPPER(P344),""HEPES""),""H"&amp;"EPES"",IF(REGEXMATCH(UPPER(P344),""HISTIDINE""),""Histidine"",IF(REGEXMATCH(UPPER(P344),""SUCCINATE""),""Succinate"",IF(REGEXMATCH(UPPER(P344),""GLYCINE""),""Glycine"",P344)))))))))"),"Citrate")</f>
        <v>Citrate</v>
      </c>
      <c r="R12" s="19">
        <v>4</v>
      </c>
      <c r="S12" s="19">
        <v>25</v>
      </c>
      <c r="T12" s="24">
        <v>3</v>
      </c>
      <c r="U12" s="24">
        <v>10</v>
      </c>
      <c r="W12" s="21">
        <v>75.8</v>
      </c>
      <c r="X12" s="21" t="s">
        <v>112</v>
      </c>
      <c r="Y12" s="21" t="s">
        <v>113</v>
      </c>
      <c r="Z12" s="21" t="s">
        <v>92</v>
      </c>
    </row>
    <row r="13" spans="1:28" ht="18" customHeight="1">
      <c r="A13">
        <f t="shared" si="0"/>
        <v>10</v>
      </c>
      <c r="E13" s="20" t="s">
        <v>49</v>
      </c>
      <c r="F13" s="21">
        <v>50</v>
      </c>
      <c r="G13" s="20" t="s">
        <v>50</v>
      </c>
      <c r="H13" s="21">
        <v>10</v>
      </c>
      <c r="I13" s="22">
        <v>38.5</v>
      </c>
      <c r="J13" s="20" t="s">
        <v>46</v>
      </c>
      <c r="K13" s="21">
        <v>2.5</v>
      </c>
      <c r="L13" s="21">
        <v>10</v>
      </c>
      <c r="M13" s="21" t="s">
        <v>47</v>
      </c>
      <c r="O13" s="25">
        <v>6</v>
      </c>
      <c r="P13" s="20" t="s">
        <v>95</v>
      </c>
      <c r="Q13" s="18" t="str">
        <f ca="1">IFERROR(__xludf.DUMMYFUNCTION("IF(P345="""","""",IF(REGEXMATCH(UPPER(P345),""CITRATE""),""Citrate"",IF(REGEXMATCH(UPPER(P345),""ACETATE""),""Sodium Acetate"",IF(REGEXMATCH(UPPER(P345),""PBS""),""PBS"",IF(REGEXMATCH(UPPER(P345),""TRIS""),""Tris"",IF(REGEXMATCH(UPPER(P345),""HEPES""),""H"&amp;"EPES"",IF(REGEXMATCH(UPPER(P345),""HISTIDINE""),""Histidine"",IF(REGEXMATCH(UPPER(P345),""SUCCINATE""),""Succinate"",IF(REGEXMATCH(UPPER(P345),""GLYCINE""),""Glycine"",P345)))))))))"),"Citrate")</f>
        <v>Citrate</v>
      </c>
      <c r="R13" s="19">
        <v>4</v>
      </c>
      <c r="S13" s="19">
        <v>25</v>
      </c>
      <c r="T13" s="22">
        <v>3</v>
      </c>
      <c r="U13" s="22">
        <v>10</v>
      </c>
      <c r="W13" s="21">
        <v>69</v>
      </c>
      <c r="X13" s="21" t="s">
        <v>93</v>
      </c>
      <c r="Y13" s="21" t="s">
        <v>114</v>
      </c>
      <c r="Z13" s="21" t="s">
        <v>75</v>
      </c>
    </row>
    <row r="14" spans="1:28" ht="18" customHeight="1">
      <c r="A14">
        <f t="shared" si="0"/>
        <v>11</v>
      </c>
      <c r="E14" s="20" t="s">
        <v>48</v>
      </c>
      <c r="F14" s="21">
        <v>50</v>
      </c>
      <c r="G14" s="20" t="s">
        <v>50</v>
      </c>
      <c r="H14" s="21">
        <v>10</v>
      </c>
      <c r="I14" s="22">
        <v>38.5</v>
      </c>
      <c r="J14" s="20" t="s">
        <v>46</v>
      </c>
      <c r="K14" s="21">
        <v>2.5</v>
      </c>
      <c r="L14" s="21">
        <v>10</v>
      </c>
      <c r="M14" s="21" t="s">
        <v>47</v>
      </c>
      <c r="O14" s="25">
        <v>6</v>
      </c>
      <c r="P14" s="20" t="s">
        <v>95</v>
      </c>
      <c r="Q14" s="18" t="str">
        <f ca="1">IFERROR(__xludf.DUMMYFUNCTION("IF(P346="""","""",IF(REGEXMATCH(UPPER(P346),""CITRATE""),""Citrate"",IF(REGEXMATCH(UPPER(P346),""ACETATE""),""Sodium Acetate"",IF(REGEXMATCH(UPPER(P346),""PBS""),""PBS"",IF(REGEXMATCH(UPPER(P346),""TRIS""),""Tris"",IF(REGEXMATCH(UPPER(P346),""HEPES""),""H"&amp;"EPES"",IF(REGEXMATCH(UPPER(P346),""HISTIDINE""),""Histidine"",IF(REGEXMATCH(UPPER(P346),""SUCCINATE""),""Succinate"",IF(REGEXMATCH(UPPER(P346),""GLYCINE""),""Glycine"",P346)))))))))"),"Citrate")</f>
        <v>Citrate</v>
      </c>
      <c r="R14" s="19">
        <v>4</v>
      </c>
      <c r="S14" s="19">
        <v>25</v>
      </c>
      <c r="T14" s="24">
        <v>3</v>
      </c>
      <c r="U14" s="24">
        <v>10</v>
      </c>
      <c r="W14" s="21">
        <v>75</v>
      </c>
      <c r="X14" s="21" t="s">
        <v>115</v>
      </c>
      <c r="Y14" s="21" t="s">
        <v>116</v>
      </c>
      <c r="Z14" s="21" t="s">
        <v>117</v>
      </c>
    </row>
    <row r="15" spans="1:28" ht="18" customHeight="1">
      <c r="A15">
        <f t="shared" si="0"/>
        <v>12</v>
      </c>
      <c r="E15" s="20" t="s">
        <v>49</v>
      </c>
      <c r="F15" s="21">
        <v>50</v>
      </c>
      <c r="G15" s="20" t="s">
        <v>50</v>
      </c>
      <c r="H15" s="21">
        <v>10</v>
      </c>
      <c r="I15" s="22">
        <v>38.5</v>
      </c>
      <c r="J15" s="20" t="s">
        <v>46</v>
      </c>
      <c r="K15" s="21">
        <v>2.5</v>
      </c>
      <c r="L15" s="21">
        <v>10</v>
      </c>
      <c r="M15" s="21" t="s">
        <v>47</v>
      </c>
      <c r="O15" s="25">
        <v>6</v>
      </c>
      <c r="P15" s="20" t="s">
        <v>95</v>
      </c>
      <c r="Q15" s="18" t="str">
        <f ca="1">IFERROR(__xludf.DUMMYFUNCTION("IF(P347="""","""",IF(REGEXMATCH(UPPER(P347),""CITRATE""),""Citrate"",IF(REGEXMATCH(UPPER(P347),""ACETATE""),""Sodium Acetate"",IF(REGEXMATCH(UPPER(P347),""PBS""),""PBS"",IF(REGEXMATCH(UPPER(P347),""TRIS""),""Tris"",IF(REGEXMATCH(UPPER(P347),""HEPES""),""H"&amp;"EPES"",IF(REGEXMATCH(UPPER(P347),""HISTIDINE""),""Histidine"",IF(REGEXMATCH(UPPER(P347),""SUCCINATE""),""Succinate"",IF(REGEXMATCH(UPPER(P347),""GLYCINE""),""Glycine"",P347)))))))))"),"Citrate")</f>
        <v>Citrate</v>
      </c>
      <c r="R15" s="19">
        <v>4</v>
      </c>
      <c r="S15" s="19">
        <v>25</v>
      </c>
      <c r="T15" s="22">
        <v>3</v>
      </c>
      <c r="U15" s="22">
        <v>10</v>
      </c>
      <c r="W15" s="21">
        <v>78.3</v>
      </c>
      <c r="X15" s="21" t="s">
        <v>118</v>
      </c>
      <c r="Y15" s="21" t="s">
        <v>119</v>
      </c>
      <c r="Z15" s="21" t="s">
        <v>120</v>
      </c>
    </row>
    <row r="16" spans="1:28" ht="14.4">
      <c r="A16">
        <f t="shared" si="0"/>
        <v>13</v>
      </c>
      <c r="E16" s="20" t="s">
        <v>49</v>
      </c>
      <c r="F16" s="21">
        <v>50</v>
      </c>
      <c r="G16" s="20" t="s">
        <v>50</v>
      </c>
      <c r="H16" s="21">
        <v>10</v>
      </c>
      <c r="I16" s="22">
        <v>38.5</v>
      </c>
      <c r="J16" s="20" t="s">
        <v>46</v>
      </c>
      <c r="K16" s="21">
        <v>2.5</v>
      </c>
      <c r="L16" s="21">
        <v>10</v>
      </c>
      <c r="M16" s="21" t="s">
        <v>47</v>
      </c>
      <c r="O16" s="25">
        <v>6</v>
      </c>
      <c r="P16" s="20" t="s">
        <v>95</v>
      </c>
      <c r="Q16" s="18" t="str">
        <f ca="1">IFERROR(__xludf.DUMMYFUNCTION("IF(P348="""","""",IF(REGEXMATCH(UPPER(P348),""CITRATE""),""Citrate"",IF(REGEXMATCH(UPPER(P348),""ACETATE""),""Sodium Acetate"",IF(REGEXMATCH(UPPER(P348),""PBS""),""PBS"",IF(REGEXMATCH(UPPER(P348),""TRIS""),""Tris"",IF(REGEXMATCH(UPPER(P348),""HEPES""),""H"&amp;"EPES"",IF(REGEXMATCH(UPPER(P348),""HISTIDINE""),""Histidine"",IF(REGEXMATCH(UPPER(P348),""SUCCINATE""),""Succinate"",IF(REGEXMATCH(UPPER(P348),""GLYCINE""),""Glycine"",P348)))))))))"),"Citrate")</f>
        <v>Citrate</v>
      </c>
      <c r="R16" s="19">
        <v>4</v>
      </c>
      <c r="S16" s="19">
        <v>25</v>
      </c>
      <c r="T16" s="24">
        <v>3</v>
      </c>
      <c r="U16" s="24">
        <v>10</v>
      </c>
      <c r="W16" s="21">
        <v>71.599999999999994</v>
      </c>
      <c r="X16" s="21" t="s">
        <v>83</v>
      </c>
      <c r="Y16" s="21" t="s">
        <v>121</v>
      </c>
      <c r="Z16" s="21" t="s">
        <v>122</v>
      </c>
    </row>
    <row r="17" spans="1:26" ht="18" customHeight="1">
      <c r="A17">
        <f t="shared" si="0"/>
        <v>14</v>
      </c>
      <c r="E17" s="20" t="s">
        <v>49</v>
      </c>
      <c r="F17" s="21">
        <v>50</v>
      </c>
      <c r="G17" s="20" t="s">
        <v>50</v>
      </c>
      <c r="H17" s="21">
        <v>10</v>
      </c>
      <c r="I17" s="22">
        <v>38.5</v>
      </c>
      <c r="J17" s="20" t="s">
        <v>46</v>
      </c>
      <c r="K17" s="21">
        <v>2.5</v>
      </c>
      <c r="L17" s="21">
        <v>10</v>
      </c>
      <c r="M17" s="21" t="s">
        <v>47</v>
      </c>
      <c r="O17" s="25">
        <v>6</v>
      </c>
      <c r="P17" s="20" t="s">
        <v>95</v>
      </c>
      <c r="Q17" s="18" t="str">
        <f ca="1">IFERROR(__xludf.DUMMYFUNCTION("IF(P349="""","""",IF(REGEXMATCH(UPPER(P349),""CITRATE""),""Citrate"",IF(REGEXMATCH(UPPER(P349),""ACETATE""),""Sodium Acetate"",IF(REGEXMATCH(UPPER(P349),""PBS""),""PBS"",IF(REGEXMATCH(UPPER(P349),""TRIS""),""Tris"",IF(REGEXMATCH(UPPER(P349),""HEPES""),""H"&amp;"EPES"",IF(REGEXMATCH(UPPER(P349),""HISTIDINE""),""Histidine"",IF(REGEXMATCH(UPPER(P349),""SUCCINATE""),""Succinate"",IF(REGEXMATCH(UPPER(P349),""GLYCINE""),""Glycine"",P349)))))))))"),"Citrate")</f>
        <v>Citrate</v>
      </c>
      <c r="R17" s="19">
        <v>4</v>
      </c>
      <c r="S17" s="19">
        <v>25</v>
      </c>
      <c r="T17" s="24">
        <v>3</v>
      </c>
      <c r="U17" s="24">
        <v>10</v>
      </c>
      <c r="W17" s="21">
        <v>81.900000000000006</v>
      </c>
      <c r="X17" s="21" t="s">
        <v>123</v>
      </c>
      <c r="Y17" s="21" t="s">
        <v>124</v>
      </c>
      <c r="Z17" s="21" t="s">
        <v>125</v>
      </c>
    </row>
    <row r="18" spans="1:26" ht="18" customHeight="1">
      <c r="A18">
        <f t="shared" si="0"/>
        <v>15</v>
      </c>
      <c r="E18" s="20" t="s">
        <v>48</v>
      </c>
      <c r="F18" s="21">
        <v>50</v>
      </c>
      <c r="G18" s="20" t="s">
        <v>50</v>
      </c>
      <c r="H18" s="21">
        <v>10</v>
      </c>
      <c r="I18" s="22">
        <v>38.5</v>
      </c>
      <c r="J18" s="20" t="s">
        <v>46</v>
      </c>
      <c r="K18" s="21">
        <v>2.5</v>
      </c>
      <c r="L18" s="21">
        <v>10</v>
      </c>
      <c r="M18" s="21" t="s">
        <v>47</v>
      </c>
      <c r="O18" s="25">
        <v>6</v>
      </c>
      <c r="P18" s="20" t="s">
        <v>95</v>
      </c>
      <c r="Q18" s="18" t="str">
        <f ca="1">IFERROR(__xludf.DUMMYFUNCTION("IF(P350="""","""",IF(REGEXMATCH(UPPER(P350),""CITRATE""),""Citrate"",IF(REGEXMATCH(UPPER(P350),""ACETATE""),""Sodium Acetate"",IF(REGEXMATCH(UPPER(P350),""PBS""),""PBS"",IF(REGEXMATCH(UPPER(P350),""TRIS""),""Tris"",IF(REGEXMATCH(UPPER(P350),""HEPES""),""H"&amp;"EPES"",IF(REGEXMATCH(UPPER(P350),""HISTIDINE""),""Histidine"",IF(REGEXMATCH(UPPER(P350),""SUCCINATE""),""Succinate"",IF(REGEXMATCH(UPPER(P350),""GLYCINE""),""Glycine"",P350)))))))))"),"Citrate")</f>
        <v>Citrate</v>
      </c>
      <c r="R18" s="19">
        <v>4</v>
      </c>
      <c r="S18" s="19">
        <v>25</v>
      </c>
      <c r="T18" s="22">
        <v>3</v>
      </c>
      <c r="U18" s="22">
        <v>10</v>
      </c>
      <c r="W18" s="21">
        <v>70.2</v>
      </c>
      <c r="X18" s="21" t="s">
        <v>126</v>
      </c>
      <c r="Y18" s="21" t="s">
        <v>127</v>
      </c>
      <c r="Z18" s="21" t="s">
        <v>76</v>
      </c>
    </row>
    <row r="19" spans="1:26" ht="18" customHeight="1">
      <c r="A19">
        <f t="shared" si="0"/>
        <v>16</v>
      </c>
      <c r="E19" s="20" t="s">
        <v>49</v>
      </c>
      <c r="F19" s="21">
        <v>50</v>
      </c>
      <c r="G19" s="20" t="s">
        <v>50</v>
      </c>
      <c r="H19" s="21">
        <v>10</v>
      </c>
      <c r="I19" s="22">
        <v>38.5</v>
      </c>
      <c r="J19" s="20" t="s">
        <v>46</v>
      </c>
      <c r="K19" s="21">
        <v>2.5</v>
      </c>
      <c r="L19" s="21">
        <v>10</v>
      </c>
      <c r="M19" s="21" t="s">
        <v>47</v>
      </c>
      <c r="O19" s="25">
        <v>6</v>
      </c>
      <c r="P19" s="20" t="s">
        <v>95</v>
      </c>
      <c r="Q19" s="18" t="str">
        <f ca="1">IFERROR(__xludf.DUMMYFUNCTION("IF(P351="""","""",IF(REGEXMATCH(UPPER(P351),""CITRATE""),""Citrate"",IF(REGEXMATCH(UPPER(P351),""ACETATE""),""Sodium Acetate"",IF(REGEXMATCH(UPPER(P351),""PBS""),""PBS"",IF(REGEXMATCH(UPPER(P351),""TRIS""),""Tris"",IF(REGEXMATCH(UPPER(P351),""HEPES""),""H"&amp;"EPES"",IF(REGEXMATCH(UPPER(P351),""HISTIDINE""),""Histidine"",IF(REGEXMATCH(UPPER(P351),""SUCCINATE""),""Succinate"",IF(REGEXMATCH(UPPER(P351),""GLYCINE""),""Glycine"",P351)))))))))"),"Citrate")</f>
        <v>Citrate</v>
      </c>
      <c r="R19" s="19">
        <v>4</v>
      </c>
      <c r="S19" s="19">
        <v>25</v>
      </c>
      <c r="T19" s="24">
        <v>3</v>
      </c>
      <c r="U19" s="24">
        <v>10</v>
      </c>
      <c r="W19" s="21">
        <v>72.599999999999994</v>
      </c>
      <c r="X19" s="21" t="s">
        <v>128</v>
      </c>
      <c r="Y19" s="21" t="s">
        <v>129</v>
      </c>
      <c r="Z19" s="21" t="s">
        <v>130</v>
      </c>
    </row>
    <row r="20" spans="1:26" ht="18" customHeight="1">
      <c r="A20">
        <f t="shared" si="0"/>
        <v>17</v>
      </c>
      <c r="E20" s="20" t="s">
        <v>49</v>
      </c>
      <c r="F20" s="21">
        <v>50</v>
      </c>
      <c r="G20" s="20" t="s">
        <v>50</v>
      </c>
      <c r="H20" s="21">
        <v>10</v>
      </c>
      <c r="I20" s="22">
        <v>38.5</v>
      </c>
      <c r="J20" s="20" t="s">
        <v>46</v>
      </c>
      <c r="K20" s="21">
        <v>2.5</v>
      </c>
      <c r="L20" s="21">
        <v>10</v>
      </c>
      <c r="M20" s="21" t="s">
        <v>47</v>
      </c>
      <c r="O20" s="25">
        <v>6</v>
      </c>
      <c r="P20" s="20" t="s">
        <v>95</v>
      </c>
      <c r="Q20" s="18" t="str">
        <f ca="1">IFERROR(__xludf.DUMMYFUNCTION("IF(P352="""","""",IF(REGEXMATCH(UPPER(P352),""CITRATE""),""Citrate"",IF(REGEXMATCH(UPPER(P352),""ACETATE""),""Sodium Acetate"",IF(REGEXMATCH(UPPER(P352),""PBS""),""PBS"",IF(REGEXMATCH(UPPER(P352),""TRIS""),""Tris"",IF(REGEXMATCH(UPPER(P352),""HEPES""),""H"&amp;"EPES"",IF(REGEXMATCH(UPPER(P352),""HISTIDINE""),""Histidine"",IF(REGEXMATCH(UPPER(P352),""SUCCINATE""),""Succinate"",IF(REGEXMATCH(UPPER(P352),""GLYCINE""),""Glycine"",P352)))))))))"),"Citrate")</f>
        <v>Citrate</v>
      </c>
      <c r="R20" s="19">
        <v>4</v>
      </c>
      <c r="S20" s="19">
        <v>25</v>
      </c>
      <c r="T20" s="22">
        <v>3</v>
      </c>
      <c r="U20" s="22">
        <v>10</v>
      </c>
      <c r="W20" s="21">
        <v>73.400000000000006</v>
      </c>
      <c r="X20" s="21" t="s">
        <v>77</v>
      </c>
      <c r="Y20" s="21" t="s">
        <v>131</v>
      </c>
      <c r="Z20" s="21" t="s">
        <v>132</v>
      </c>
    </row>
    <row r="21" spans="1:26" ht="18" customHeight="1">
      <c r="A21">
        <f t="shared" si="0"/>
        <v>18</v>
      </c>
      <c r="E21" s="20" t="s">
        <v>49</v>
      </c>
      <c r="F21" s="21">
        <v>50</v>
      </c>
      <c r="G21" s="20" t="s">
        <v>50</v>
      </c>
      <c r="H21" s="21">
        <v>10</v>
      </c>
      <c r="I21" s="22">
        <v>38.5</v>
      </c>
      <c r="J21" s="20" t="s">
        <v>46</v>
      </c>
      <c r="K21" s="21">
        <v>2.5</v>
      </c>
      <c r="L21" s="21">
        <v>10</v>
      </c>
      <c r="M21" s="21" t="s">
        <v>47</v>
      </c>
      <c r="O21" s="25">
        <v>6</v>
      </c>
      <c r="P21" s="20" t="s">
        <v>95</v>
      </c>
      <c r="Q21" s="18" t="str">
        <f ca="1">IFERROR(__xludf.DUMMYFUNCTION("IF(P353="""","""",IF(REGEXMATCH(UPPER(P353),""CITRATE""),""Citrate"",IF(REGEXMATCH(UPPER(P353),""ACETATE""),""Sodium Acetate"",IF(REGEXMATCH(UPPER(P353),""PBS""),""PBS"",IF(REGEXMATCH(UPPER(P353),""TRIS""),""Tris"",IF(REGEXMATCH(UPPER(P353),""HEPES""),""H"&amp;"EPES"",IF(REGEXMATCH(UPPER(P353),""HISTIDINE""),""Histidine"",IF(REGEXMATCH(UPPER(P353),""SUCCINATE""),""Succinate"",IF(REGEXMATCH(UPPER(P353),""GLYCINE""),""Glycine"",P353)))))))))"),"Citrate")</f>
        <v>Citrate</v>
      </c>
      <c r="R21" s="19">
        <v>4</v>
      </c>
      <c r="S21" s="19">
        <v>25</v>
      </c>
      <c r="T21" s="24">
        <v>3</v>
      </c>
      <c r="U21" s="24">
        <v>10</v>
      </c>
      <c r="W21" s="21">
        <v>68</v>
      </c>
      <c r="X21" s="21" t="s">
        <v>133</v>
      </c>
      <c r="Y21" s="21" t="s">
        <v>134</v>
      </c>
      <c r="Z21" s="21" t="s">
        <v>135</v>
      </c>
    </row>
    <row r="22" spans="1:26" ht="18" customHeight="1">
      <c r="A22">
        <f t="shared" si="0"/>
        <v>19</v>
      </c>
      <c r="E22" s="20" t="s">
        <v>48</v>
      </c>
      <c r="F22" s="21">
        <v>50</v>
      </c>
      <c r="G22" s="20" t="s">
        <v>50</v>
      </c>
      <c r="H22" s="21">
        <v>10</v>
      </c>
      <c r="I22" s="22">
        <v>38.5</v>
      </c>
      <c r="J22" s="20" t="s">
        <v>46</v>
      </c>
      <c r="K22" s="21">
        <v>2.5</v>
      </c>
      <c r="L22" s="21">
        <v>10</v>
      </c>
      <c r="M22" s="21" t="s">
        <v>47</v>
      </c>
      <c r="O22" s="25">
        <v>6</v>
      </c>
      <c r="P22" s="20" t="s">
        <v>95</v>
      </c>
      <c r="Q22" s="18" t="str">
        <f ca="1">IFERROR(__xludf.DUMMYFUNCTION("IF(P354="""","""",IF(REGEXMATCH(UPPER(P354),""CITRATE""),""Citrate"",IF(REGEXMATCH(UPPER(P354),""ACETATE""),""Sodium Acetate"",IF(REGEXMATCH(UPPER(P354),""PBS""),""PBS"",IF(REGEXMATCH(UPPER(P354),""TRIS""),""Tris"",IF(REGEXMATCH(UPPER(P354),""HEPES""),""H"&amp;"EPES"",IF(REGEXMATCH(UPPER(P354),""HISTIDINE""),""Histidine"",IF(REGEXMATCH(UPPER(P354),""SUCCINATE""),""Succinate"",IF(REGEXMATCH(UPPER(P354),""GLYCINE""),""Glycine"",P354)))))))))"),"Citrate")</f>
        <v>Citrate</v>
      </c>
      <c r="R22" s="19">
        <v>4</v>
      </c>
      <c r="S22" s="19">
        <v>25</v>
      </c>
      <c r="T22" s="22">
        <v>3</v>
      </c>
      <c r="U22" s="22">
        <v>10</v>
      </c>
      <c r="W22" s="21">
        <v>78.5</v>
      </c>
      <c r="X22" s="21" t="s">
        <v>136</v>
      </c>
      <c r="Y22" s="21" t="s">
        <v>137</v>
      </c>
      <c r="Z22" s="21" t="s">
        <v>138</v>
      </c>
    </row>
    <row r="23" spans="1:26" ht="18" customHeight="1">
      <c r="A23">
        <f t="shared" si="0"/>
        <v>20</v>
      </c>
      <c r="E23" s="20" t="s">
        <v>49</v>
      </c>
      <c r="F23" s="21">
        <v>50</v>
      </c>
      <c r="G23" s="20" t="s">
        <v>50</v>
      </c>
      <c r="H23" s="21">
        <v>10</v>
      </c>
      <c r="I23" s="22">
        <v>38.5</v>
      </c>
      <c r="J23" s="20" t="s">
        <v>46</v>
      </c>
      <c r="K23" s="21">
        <v>2.5</v>
      </c>
      <c r="L23" s="21">
        <v>10</v>
      </c>
      <c r="M23" s="21" t="s">
        <v>47</v>
      </c>
      <c r="O23" s="25">
        <v>6</v>
      </c>
      <c r="P23" s="20" t="s">
        <v>95</v>
      </c>
      <c r="Q23" s="18" t="str">
        <f ca="1">IFERROR(__xludf.DUMMYFUNCTION("IF(P355="""","""",IF(REGEXMATCH(UPPER(P355),""CITRATE""),""Citrate"",IF(REGEXMATCH(UPPER(P355),""ACETATE""),""Sodium Acetate"",IF(REGEXMATCH(UPPER(P355),""PBS""),""PBS"",IF(REGEXMATCH(UPPER(P355),""TRIS""),""Tris"",IF(REGEXMATCH(UPPER(P355),""HEPES""),""H"&amp;"EPES"",IF(REGEXMATCH(UPPER(P355),""HISTIDINE""),""Histidine"",IF(REGEXMATCH(UPPER(P355),""SUCCINATE""),""Succinate"",IF(REGEXMATCH(UPPER(P355),""GLYCINE""),""Glycine"",P355)))))))))"),"Citrate")</f>
        <v>Citrate</v>
      </c>
      <c r="R23" s="19">
        <v>4</v>
      </c>
      <c r="S23" s="19">
        <v>25</v>
      </c>
      <c r="T23" s="24">
        <v>3</v>
      </c>
      <c r="U23" s="24">
        <v>10</v>
      </c>
      <c r="W23" s="21">
        <v>72.8</v>
      </c>
      <c r="X23" s="21" t="s">
        <v>139</v>
      </c>
      <c r="Y23" s="21" t="s">
        <v>140</v>
      </c>
      <c r="Z23" s="21" t="s">
        <v>141</v>
      </c>
    </row>
    <row r="24" spans="1:26" ht="18" customHeight="1">
      <c r="A24">
        <f t="shared" si="0"/>
        <v>21</v>
      </c>
      <c r="E24" s="20" t="s">
        <v>48</v>
      </c>
      <c r="F24" s="21">
        <v>50</v>
      </c>
      <c r="G24" s="20" t="s">
        <v>50</v>
      </c>
      <c r="H24" s="21">
        <v>10</v>
      </c>
      <c r="I24" s="22">
        <v>38.5</v>
      </c>
      <c r="J24" s="20" t="s">
        <v>46</v>
      </c>
      <c r="K24" s="21">
        <v>2.5</v>
      </c>
      <c r="L24" s="21">
        <v>10</v>
      </c>
      <c r="M24" s="21" t="s">
        <v>47</v>
      </c>
      <c r="O24" s="25">
        <v>6</v>
      </c>
      <c r="P24" s="20" t="s">
        <v>95</v>
      </c>
      <c r="Q24" s="18" t="str">
        <f ca="1">IFERROR(__xludf.DUMMYFUNCTION("IF(P356="""","""",IF(REGEXMATCH(UPPER(P356),""CITRATE""),""Citrate"",IF(REGEXMATCH(UPPER(P356),""ACETATE""),""Sodium Acetate"",IF(REGEXMATCH(UPPER(P356),""PBS""),""PBS"",IF(REGEXMATCH(UPPER(P356),""TRIS""),""Tris"",IF(REGEXMATCH(UPPER(P356),""HEPES""),""H"&amp;"EPES"",IF(REGEXMATCH(UPPER(P356),""HISTIDINE""),""Histidine"",IF(REGEXMATCH(UPPER(P356),""SUCCINATE""),""Succinate"",IF(REGEXMATCH(UPPER(P356),""GLYCINE""),""Glycine"",P356)))))))))"),"Citrate")</f>
        <v>Citrate</v>
      </c>
      <c r="R24" s="19">
        <v>4</v>
      </c>
      <c r="S24" s="19">
        <v>25</v>
      </c>
      <c r="T24" s="22">
        <v>3</v>
      </c>
      <c r="U24" s="22">
        <v>10</v>
      </c>
      <c r="W24" s="21">
        <v>74</v>
      </c>
      <c r="X24" s="21" t="s">
        <v>88</v>
      </c>
      <c r="Y24" s="21" t="s">
        <v>142</v>
      </c>
      <c r="Z24" s="21" t="s">
        <v>87</v>
      </c>
    </row>
    <row r="25" spans="1:26" ht="18" customHeight="1">
      <c r="A25">
        <f t="shared" si="0"/>
        <v>22</v>
      </c>
      <c r="E25" s="20" t="s">
        <v>49</v>
      </c>
      <c r="F25" s="21">
        <v>50</v>
      </c>
      <c r="G25" s="20" t="s">
        <v>50</v>
      </c>
      <c r="H25" s="21">
        <v>10</v>
      </c>
      <c r="I25" s="22">
        <v>38.5</v>
      </c>
      <c r="J25" s="20" t="s">
        <v>46</v>
      </c>
      <c r="K25" s="21">
        <v>2.5</v>
      </c>
      <c r="L25" s="21">
        <v>10</v>
      </c>
      <c r="M25" s="21" t="s">
        <v>47</v>
      </c>
      <c r="O25" s="25">
        <v>6</v>
      </c>
      <c r="P25" s="20" t="s">
        <v>95</v>
      </c>
      <c r="Q25" s="18" t="str">
        <f ca="1">IFERROR(__xludf.DUMMYFUNCTION("IF(P357="""","""",IF(REGEXMATCH(UPPER(P357),""CITRATE""),""Citrate"",IF(REGEXMATCH(UPPER(P357),""ACETATE""),""Sodium Acetate"",IF(REGEXMATCH(UPPER(P357),""PBS""),""PBS"",IF(REGEXMATCH(UPPER(P357),""TRIS""),""Tris"",IF(REGEXMATCH(UPPER(P357),""HEPES""),""H"&amp;"EPES"",IF(REGEXMATCH(UPPER(P357),""HISTIDINE""),""Histidine"",IF(REGEXMATCH(UPPER(P357),""SUCCINATE""),""Succinate"",IF(REGEXMATCH(UPPER(P357),""GLYCINE""),""Glycine"",P357)))))))))"),"Citrate")</f>
        <v>Citrate</v>
      </c>
      <c r="R25" s="19">
        <v>4</v>
      </c>
      <c r="S25" s="19">
        <v>25</v>
      </c>
      <c r="T25" s="24">
        <v>3</v>
      </c>
      <c r="U25" s="24">
        <v>10</v>
      </c>
      <c r="W25" s="21">
        <v>80.400000000000006</v>
      </c>
      <c r="X25" s="21" t="s">
        <v>73</v>
      </c>
      <c r="Y25" s="21" t="s">
        <v>58</v>
      </c>
      <c r="Z25" s="21" t="s">
        <v>69</v>
      </c>
    </row>
    <row r="26" spans="1:26" ht="18" customHeight="1">
      <c r="A26">
        <f t="shared" si="0"/>
        <v>23</v>
      </c>
      <c r="E26" s="20" t="s">
        <v>48</v>
      </c>
      <c r="F26" s="21">
        <v>50</v>
      </c>
      <c r="G26" s="20" t="s">
        <v>50</v>
      </c>
      <c r="H26" s="21">
        <v>10</v>
      </c>
      <c r="I26" s="22">
        <v>38.5</v>
      </c>
      <c r="J26" s="20" t="s">
        <v>46</v>
      </c>
      <c r="K26" s="21">
        <v>2.5</v>
      </c>
      <c r="L26" s="21">
        <v>10</v>
      </c>
      <c r="M26" s="21" t="s">
        <v>47</v>
      </c>
      <c r="O26" s="25">
        <v>6</v>
      </c>
      <c r="P26" s="20" t="s">
        <v>95</v>
      </c>
      <c r="Q26" s="18" t="str">
        <f ca="1">IFERROR(__xludf.DUMMYFUNCTION("IF(P358="""","""",IF(REGEXMATCH(UPPER(P358),""CITRATE""),""Citrate"",IF(REGEXMATCH(UPPER(P358),""ACETATE""),""Sodium Acetate"",IF(REGEXMATCH(UPPER(P358),""PBS""),""PBS"",IF(REGEXMATCH(UPPER(P358),""TRIS""),""Tris"",IF(REGEXMATCH(UPPER(P358),""HEPES""),""H"&amp;"EPES"",IF(REGEXMATCH(UPPER(P358),""HISTIDINE""),""Histidine"",IF(REGEXMATCH(UPPER(P358),""SUCCINATE""),""Succinate"",IF(REGEXMATCH(UPPER(P358),""GLYCINE""),""Glycine"",P358)))))))))"),"Citrate")</f>
        <v>Citrate</v>
      </c>
      <c r="R26" s="19">
        <v>4</v>
      </c>
      <c r="S26" s="19">
        <v>25</v>
      </c>
      <c r="T26" s="22">
        <v>3</v>
      </c>
      <c r="U26" s="22">
        <v>10</v>
      </c>
      <c r="W26" s="21">
        <v>79.900000000000006</v>
      </c>
      <c r="X26" s="21" t="s">
        <v>78</v>
      </c>
      <c r="Y26" s="21" t="s">
        <v>143</v>
      </c>
      <c r="Z26" s="21" t="s">
        <v>144</v>
      </c>
    </row>
    <row r="27" spans="1:26" ht="18" customHeight="1">
      <c r="A27">
        <f t="shared" si="0"/>
        <v>24</v>
      </c>
      <c r="E27" s="20" t="s">
        <v>49</v>
      </c>
      <c r="F27" s="21">
        <v>50</v>
      </c>
      <c r="G27" s="20" t="s">
        <v>50</v>
      </c>
      <c r="H27" s="21">
        <v>10</v>
      </c>
      <c r="I27" s="22">
        <v>38.5</v>
      </c>
      <c r="J27" s="20" t="s">
        <v>46</v>
      </c>
      <c r="K27" s="21">
        <v>2.5</v>
      </c>
      <c r="L27" s="21">
        <v>10</v>
      </c>
      <c r="M27" s="21" t="s">
        <v>47</v>
      </c>
      <c r="O27" s="25">
        <v>6</v>
      </c>
      <c r="P27" s="20" t="s">
        <v>95</v>
      </c>
      <c r="Q27" s="18" t="str">
        <f ca="1">IFERROR(__xludf.DUMMYFUNCTION("IF(P359="""","""",IF(REGEXMATCH(UPPER(P359),""CITRATE""),""Citrate"",IF(REGEXMATCH(UPPER(P359),""ACETATE""),""Sodium Acetate"",IF(REGEXMATCH(UPPER(P359),""PBS""),""PBS"",IF(REGEXMATCH(UPPER(P359),""TRIS""),""Tris"",IF(REGEXMATCH(UPPER(P359),""HEPES""),""H"&amp;"EPES"",IF(REGEXMATCH(UPPER(P359),""HISTIDINE""),""Histidine"",IF(REGEXMATCH(UPPER(P359),""SUCCINATE""),""Succinate"",IF(REGEXMATCH(UPPER(P359),""GLYCINE""),""Glycine"",P359)))))))))"),"Citrate")</f>
        <v>Citrate</v>
      </c>
      <c r="R27" s="19">
        <v>4</v>
      </c>
      <c r="S27" s="19">
        <v>25</v>
      </c>
      <c r="T27" s="24">
        <v>3</v>
      </c>
      <c r="U27" s="24">
        <v>10</v>
      </c>
      <c r="W27" s="21">
        <v>79.400000000000006</v>
      </c>
      <c r="X27" s="21" t="s">
        <v>145</v>
      </c>
      <c r="Y27" s="21" t="s">
        <v>146</v>
      </c>
      <c r="Z27" s="21" t="s">
        <v>147</v>
      </c>
    </row>
    <row r="28" spans="1:26" ht="18" customHeight="1">
      <c r="A28">
        <f t="shared" si="0"/>
        <v>25</v>
      </c>
      <c r="E28" s="20" t="s">
        <v>48</v>
      </c>
      <c r="F28" s="21">
        <v>50</v>
      </c>
      <c r="G28" s="20" t="s">
        <v>50</v>
      </c>
      <c r="H28" s="21">
        <v>10</v>
      </c>
      <c r="I28" s="22">
        <v>38.5</v>
      </c>
      <c r="J28" s="20" t="s">
        <v>46</v>
      </c>
      <c r="K28" s="21">
        <v>2.5</v>
      </c>
      <c r="L28" s="21">
        <v>10</v>
      </c>
      <c r="M28" s="21" t="s">
        <v>47</v>
      </c>
      <c r="O28" s="25">
        <v>6</v>
      </c>
      <c r="P28" s="20" t="s">
        <v>95</v>
      </c>
      <c r="Q28" s="18" t="str">
        <f ca="1">IFERROR(__xludf.DUMMYFUNCTION("IF(P360="""","""",IF(REGEXMATCH(UPPER(P360),""CITRATE""),""Citrate"",IF(REGEXMATCH(UPPER(P360),""ACETATE""),""Sodium Acetate"",IF(REGEXMATCH(UPPER(P360),""PBS""),""PBS"",IF(REGEXMATCH(UPPER(P360),""TRIS""),""Tris"",IF(REGEXMATCH(UPPER(P360),""HEPES""),""H"&amp;"EPES"",IF(REGEXMATCH(UPPER(P360),""HISTIDINE""),""Histidine"",IF(REGEXMATCH(UPPER(P360),""SUCCINATE""),""Succinate"",IF(REGEXMATCH(UPPER(P360),""GLYCINE""),""Glycine"",P360)))))))))"),"Citrate")</f>
        <v>Citrate</v>
      </c>
      <c r="R28" s="19">
        <v>4</v>
      </c>
      <c r="S28" s="19">
        <v>25</v>
      </c>
      <c r="T28" s="22">
        <v>3</v>
      </c>
      <c r="U28" s="22">
        <v>10</v>
      </c>
      <c r="W28" s="21">
        <v>78.3</v>
      </c>
      <c r="X28" s="21" t="s">
        <v>94</v>
      </c>
      <c r="Y28" s="21" t="s">
        <v>148</v>
      </c>
      <c r="Z28" s="21" t="s">
        <v>99</v>
      </c>
    </row>
    <row r="29" spans="1:26" ht="18" customHeight="1">
      <c r="A29">
        <f t="shared" si="0"/>
        <v>26</v>
      </c>
      <c r="E29" s="20" t="s">
        <v>49</v>
      </c>
      <c r="F29" s="21">
        <v>50</v>
      </c>
      <c r="G29" s="20" t="s">
        <v>50</v>
      </c>
      <c r="H29" s="21">
        <v>10</v>
      </c>
      <c r="I29" s="22">
        <v>38.5</v>
      </c>
      <c r="J29" s="20" t="s">
        <v>46</v>
      </c>
      <c r="K29" s="21">
        <v>2.5</v>
      </c>
      <c r="L29" s="21">
        <v>10</v>
      </c>
      <c r="M29" s="21" t="s">
        <v>47</v>
      </c>
      <c r="O29" s="25">
        <v>6</v>
      </c>
      <c r="P29" s="20" t="s">
        <v>95</v>
      </c>
      <c r="Q29" s="18" t="str">
        <f ca="1">IFERROR(__xludf.DUMMYFUNCTION("IF(P361="""","""",IF(REGEXMATCH(UPPER(P361),""CITRATE""),""Citrate"",IF(REGEXMATCH(UPPER(P361),""ACETATE""),""Sodium Acetate"",IF(REGEXMATCH(UPPER(P361),""PBS""),""PBS"",IF(REGEXMATCH(UPPER(P361),""TRIS""),""Tris"",IF(REGEXMATCH(UPPER(P361),""HEPES""),""H"&amp;"EPES"",IF(REGEXMATCH(UPPER(P361),""HISTIDINE""),""Histidine"",IF(REGEXMATCH(UPPER(P361),""SUCCINATE""),""Succinate"",IF(REGEXMATCH(UPPER(P361),""GLYCINE""),""Glycine"",P361)))))))))"),"Citrate")</f>
        <v>Citrate</v>
      </c>
      <c r="R29" s="19">
        <v>4</v>
      </c>
      <c r="S29" s="19">
        <v>25</v>
      </c>
      <c r="T29" s="24">
        <v>3</v>
      </c>
      <c r="U29" s="24">
        <v>10</v>
      </c>
      <c r="W29" s="21">
        <v>80</v>
      </c>
      <c r="X29" s="21" t="s">
        <v>72</v>
      </c>
      <c r="Y29" s="21" t="s">
        <v>149</v>
      </c>
      <c r="Z29" s="21" t="s">
        <v>150</v>
      </c>
    </row>
    <row r="30" spans="1:26" ht="18" customHeight="1">
      <c r="A30">
        <f t="shared" si="0"/>
        <v>27</v>
      </c>
      <c r="E30" s="20" t="s">
        <v>49</v>
      </c>
      <c r="F30" s="21">
        <v>50</v>
      </c>
      <c r="G30" s="20" t="s">
        <v>50</v>
      </c>
      <c r="H30" s="21">
        <v>10</v>
      </c>
      <c r="I30" s="22">
        <v>38.5</v>
      </c>
      <c r="J30" s="20" t="s">
        <v>46</v>
      </c>
      <c r="K30" s="21">
        <v>2.5</v>
      </c>
      <c r="L30" s="21">
        <v>10</v>
      </c>
      <c r="M30" s="21" t="s">
        <v>47</v>
      </c>
      <c r="O30" s="25">
        <v>6</v>
      </c>
      <c r="P30" s="20" t="s">
        <v>95</v>
      </c>
      <c r="Q30" s="18" t="str">
        <f ca="1">IFERROR(__xludf.DUMMYFUNCTION("IF(P362="""","""",IF(REGEXMATCH(UPPER(P362),""CITRATE""),""Citrate"",IF(REGEXMATCH(UPPER(P362),""ACETATE""),""Sodium Acetate"",IF(REGEXMATCH(UPPER(P362),""PBS""),""PBS"",IF(REGEXMATCH(UPPER(P362),""TRIS""),""Tris"",IF(REGEXMATCH(UPPER(P362),""HEPES""),""H"&amp;"EPES"",IF(REGEXMATCH(UPPER(P362),""HISTIDINE""),""Histidine"",IF(REGEXMATCH(UPPER(P362),""SUCCINATE""),""Succinate"",IF(REGEXMATCH(UPPER(P362),""GLYCINE""),""Glycine"",P362)))))))))"),"Citrate")</f>
        <v>Citrate</v>
      </c>
      <c r="R30" s="19">
        <v>4</v>
      </c>
      <c r="S30" s="19">
        <v>25</v>
      </c>
      <c r="T30" s="22">
        <v>3</v>
      </c>
      <c r="U30" s="22">
        <v>10</v>
      </c>
      <c r="W30" s="21">
        <v>79.8</v>
      </c>
      <c r="X30" s="21" t="s">
        <v>91</v>
      </c>
      <c r="Y30" s="21" t="s">
        <v>151</v>
      </c>
      <c r="Z30" s="21" t="s">
        <v>152</v>
      </c>
    </row>
    <row r="31" spans="1:26" ht="18" customHeight="1">
      <c r="A31">
        <f t="shared" si="0"/>
        <v>28</v>
      </c>
      <c r="E31" s="20" t="s">
        <v>49</v>
      </c>
      <c r="F31" s="21">
        <v>50</v>
      </c>
      <c r="G31" s="20" t="s">
        <v>50</v>
      </c>
      <c r="H31" s="21">
        <v>10</v>
      </c>
      <c r="I31" s="22">
        <v>38.5</v>
      </c>
      <c r="J31" s="20" t="s">
        <v>46</v>
      </c>
      <c r="K31" s="21">
        <v>1.5</v>
      </c>
      <c r="L31" s="21">
        <v>10</v>
      </c>
      <c r="M31" s="21" t="s">
        <v>47</v>
      </c>
      <c r="O31" s="25">
        <v>6</v>
      </c>
      <c r="P31" s="20" t="s">
        <v>95</v>
      </c>
      <c r="Q31" s="18" t="str">
        <f ca="1">IFERROR(__xludf.DUMMYFUNCTION("IF(P363="""","""",IF(REGEXMATCH(UPPER(P363),""CITRATE""),""Citrate"",IF(REGEXMATCH(UPPER(P363),""ACETATE""),""Sodium Acetate"",IF(REGEXMATCH(UPPER(P363),""PBS""),""PBS"",IF(REGEXMATCH(UPPER(P363),""TRIS""),""Tris"",IF(REGEXMATCH(UPPER(P363),""HEPES""),""H"&amp;"EPES"",IF(REGEXMATCH(UPPER(P363),""HISTIDINE""),""Histidine"",IF(REGEXMATCH(UPPER(P363),""SUCCINATE""),""Succinate"",IF(REGEXMATCH(UPPER(P363),""GLYCINE""),""Glycine"",P363)))))))))"),"Citrate")</f>
        <v>Citrate</v>
      </c>
      <c r="R31" s="19">
        <v>4</v>
      </c>
      <c r="S31" s="19">
        <v>25</v>
      </c>
      <c r="T31" s="24">
        <v>6</v>
      </c>
      <c r="U31" s="24">
        <v>12</v>
      </c>
      <c r="W31" s="21" t="s">
        <v>153</v>
      </c>
      <c r="X31" s="20" t="s">
        <v>154</v>
      </c>
      <c r="Y31" s="21" t="s">
        <v>80</v>
      </c>
      <c r="Z31" s="21" t="s">
        <v>90</v>
      </c>
    </row>
    <row r="32" spans="1:26" ht="18" customHeight="1">
      <c r="A32">
        <f t="shared" si="0"/>
        <v>29</v>
      </c>
      <c r="E32" s="20" t="s">
        <v>48</v>
      </c>
      <c r="F32" s="21">
        <v>50</v>
      </c>
      <c r="G32" s="20" t="s">
        <v>50</v>
      </c>
      <c r="H32" s="21">
        <v>10</v>
      </c>
      <c r="I32" s="22">
        <v>38.5</v>
      </c>
      <c r="J32" s="20" t="s">
        <v>46</v>
      </c>
      <c r="K32" s="21">
        <v>1.5</v>
      </c>
      <c r="L32" s="21">
        <v>10</v>
      </c>
      <c r="M32" s="21" t="s">
        <v>47</v>
      </c>
      <c r="O32" s="25">
        <v>6</v>
      </c>
      <c r="P32" s="20" t="s">
        <v>95</v>
      </c>
      <c r="Q32" s="18" t="str">
        <f ca="1">IFERROR(__xludf.DUMMYFUNCTION("IF(P364="""","""",IF(REGEXMATCH(UPPER(P364),""CITRATE""),""Citrate"",IF(REGEXMATCH(UPPER(P364),""ACETATE""),""Sodium Acetate"",IF(REGEXMATCH(UPPER(P364),""PBS""),""PBS"",IF(REGEXMATCH(UPPER(P364),""TRIS""),""Tris"",IF(REGEXMATCH(UPPER(P364),""HEPES""),""H"&amp;"EPES"",IF(REGEXMATCH(UPPER(P364),""HISTIDINE""),""Histidine"",IF(REGEXMATCH(UPPER(P364),""SUCCINATE""),""Succinate"",IF(REGEXMATCH(UPPER(P364),""GLYCINE""),""Glycine"",P364)))))))))"),"Citrate")</f>
        <v>Citrate</v>
      </c>
      <c r="R32" s="19">
        <v>4</v>
      </c>
      <c r="S32" s="19">
        <v>25</v>
      </c>
      <c r="T32" s="22">
        <v>6</v>
      </c>
      <c r="U32" s="22">
        <v>12</v>
      </c>
      <c r="W32" s="21" t="s">
        <v>68</v>
      </c>
      <c r="X32" s="20" t="s">
        <v>155</v>
      </c>
      <c r="Y32" s="21" t="s">
        <v>52</v>
      </c>
      <c r="Z32" s="21" t="s">
        <v>156</v>
      </c>
    </row>
    <row r="33" spans="1:26" ht="18" customHeight="1">
      <c r="A33">
        <f t="shared" si="0"/>
        <v>30</v>
      </c>
      <c r="E33" s="20" t="s">
        <v>49</v>
      </c>
      <c r="F33" s="21">
        <v>50</v>
      </c>
      <c r="G33" s="20" t="s">
        <v>50</v>
      </c>
      <c r="H33" s="21">
        <v>10</v>
      </c>
      <c r="I33" s="22">
        <v>38.5</v>
      </c>
      <c r="J33" s="20" t="s">
        <v>46</v>
      </c>
      <c r="K33" s="21">
        <v>1.5</v>
      </c>
      <c r="L33" s="21">
        <v>10</v>
      </c>
      <c r="M33" s="21" t="s">
        <v>47</v>
      </c>
      <c r="O33" s="25">
        <v>6</v>
      </c>
      <c r="P33" s="20" t="s">
        <v>95</v>
      </c>
      <c r="Q33" s="18" t="str">
        <f ca="1">IFERROR(__xludf.DUMMYFUNCTION("IF(P365="""","""",IF(REGEXMATCH(UPPER(P365),""CITRATE""),""Citrate"",IF(REGEXMATCH(UPPER(P365),""ACETATE""),""Sodium Acetate"",IF(REGEXMATCH(UPPER(P365),""PBS""),""PBS"",IF(REGEXMATCH(UPPER(P365),""TRIS""),""Tris"",IF(REGEXMATCH(UPPER(P365),""HEPES""),""H"&amp;"EPES"",IF(REGEXMATCH(UPPER(P365),""HISTIDINE""),""Histidine"",IF(REGEXMATCH(UPPER(P365),""SUCCINATE""),""Succinate"",IF(REGEXMATCH(UPPER(P365),""GLYCINE""),""Glycine"",P365)))))))))"),"Citrate")</f>
        <v>Citrate</v>
      </c>
      <c r="R33" s="19">
        <v>4</v>
      </c>
      <c r="S33" s="19">
        <v>25</v>
      </c>
      <c r="T33" s="24">
        <v>6</v>
      </c>
      <c r="U33" s="24">
        <v>12</v>
      </c>
      <c r="W33" s="21" t="s">
        <v>157</v>
      </c>
      <c r="X33" s="20" t="s">
        <v>158</v>
      </c>
      <c r="Y33" s="21" t="s">
        <v>159</v>
      </c>
      <c r="Z33" s="21" t="s">
        <v>160</v>
      </c>
    </row>
    <row r="34" spans="1:26" ht="18" customHeight="1">
      <c r="A34">
        <f t="shared" si="0"/>
        <v>31</v>
      </c>
      <c r="E34" s="20" t="s">
        <v>48</v>
      </c>
      <c r="F34" s="21">
        <v>50</v>
      </c>
      <c r="G34" s="20" t="s">
        <v>50</v>
      </c>
      <c r="H34" s="21">
        <v>10</v>
      </c>
      <c r="I34" s="22">
        <v>38.5</v>
      </c>
      <c r="J34" s="20" t="s">
        <v>46</v>
      </c>
      <c r="K34" s="21">
        <v>1.5</v>
      </c>
      <c r="L34" s="21">
        <v>10</v>
      </c>
      <c r="M34" s="21" t="s">
        <v>47</v>
      </c>
      <c r="O34" s="25">
        <v>6</v>
      </c>
      <c r="P34" s="20" t="s">
        <v>95</v>
      </c>
      <c r="Q34" s="18" t="str">
        <f ca="1">IFERROR(__xludf.DUMMYFUNCTION("IF(P366="""","""",IF(REGEXMATCH(UPPER(P366),""CITRATE""),""Citrate"",IF(REGEXMATCH(UPPER(P366),""ACETATE""),""Sodium Acetate"",IF(REGEXMATCH(UPPER(P366),""PBS""),""PBS"",IF(REGEXMATCH(UPPER(P366),""TRIS""),""Tris"",IF(REGEXMATCH(UPPER(P366),""HEPES""),""H"&amp;"EPES"",IF(REGEXMATCH(UPPER(P366),""HISTIDINE""),""Histidine"",IF(REGEXMATCH(UPPER(P366),""SUCCINATE""),""Succinate"",IF(REGEXMATCH(UPPER(P366),""GLYCINE""),""Glycine"",P366)))))))))"),"Citrate")</f>
        <v>Citrate</v>
      </c>
      <c r="R34" s="19">
        <v>4</v>
      </c>
      <c r="S34" s="19">
        <v>25</v>
      </c>
      <c r="T34" s="22">
        <v>6</v>
      </c>
      <c r="U34" s="22">
        <v>12</v>
      </c>
      <c r="W34" s="21" t="s">
        <v>161</v>
      </c>
      <c r="X34" s="20" t="s">
        <v>162</v>
      </c>
      <c r="Y34" s="21" t="s">
        <v>163</v>
      </c>
      <c r="Z34" s="21" t="s">
        <v>164</v>
      </c>
    </row>
    <row r="35" spans="1:26" ht="18" customHeight="1">
      <c r="A35">
        <f t="shared" si="0"/>
        <v>32</v>
      </c>
      <c r="E35" s="20" t="s">
        <v>48</v>
      </c>
      <c r="F35" s="21">
        <v>50</v>
      </c>
      <c r="G35" s="20" t="s">
        <v>50</v>
      </c>
      <c r="H35" s="21">
        <v>10</v>
      </c>
      <c r="I35" s="22">
        <v>38.5</v>
      </c>
      <c r="J35" s="20" t="s">
        <v>46</v>
      </c>
      <c r="K35" s="21">
        <v>1.5</v>
      </c>
      <c r="L35" s="21">
        <v>10</v>
      </c>
      <c r="M35" s="21" t="s">
        <v>47</v>
      </c>
      <c r="O35" s="25">
        <v>6</v>
      </c>
      <c r="P35" s="20" t="s">
        <v>95</v>
      </c>
      <c r="Q35" s="18" t="str">
        <f ca="1">IFERROR(__xludf.DUMMYFUNCTION("IF(P367="""","""",IF(REGEXMATCH(UPPER(P367),""CITRATE""),""Citrate"",IF(REGEXMATCH(UPPER(P367),""ACETATE""),""Sodium Acetate"",IF(REGEXMATCH(UPPER(P367),""PBS""),""PBS"",IF(REGEXMATCH(UPPER(P367),""TRIS""),""Tris"",IF(REGEXMATCH(UPPER(P367),""HEPES""),""H"&amp;"EPES"",IF(REGEXMATCH(UPPER(P367),""HISTIDINE""),""Histidine"",IF(REGEXMATCH(UPPER(P367),""SUCCINATE""),""Succinate"",IF(REGEXMATCH(UPPER(P367),""GLYCINE""),""Glycine"",P367)))))))))"),"Citrate")</f>
        <v>Citrate</v>
      </c>
      <c r="R35" s="19">
        <v>4</v>
      </c>
      <c r="S35" s="19">
        <v>25</v>
      </c>
      <c r="T35" s="24">
        <v>6</v>
      </c>
      <c r="U35" s="24">
        <v>12</v>
      </c>
      <c r="W35" s="21" t="s">
        <v>165</v>
      </c>
      <c r="X35" s="20" t="s">
        <v>166</v>
      </c>
      <c r="Y35" s="21" t="s">
        <v>167</v>
      </c>
      <c r="Z35" s="21" t="s">
        <v>85</v>
      </c>
    </row>
    <row r="36" spans="1:26" ht="18" customHeight="1">
      <c r="A36">
        <f t="shared" si="0"/>
        <v>33</v>
      </c>
      <c r="E36" s="20" t="s">
        <v>49</v>
      </c>
      <c r="F36" s="21">
        <v>50</v>
      </c>
      <c r="G36" s="20" t="s">
        <v>50</v>
      </c>
      <c r="H36" s="21">
        <v>10</v>
      </c>
      <c r="I36" s="22">
        <v>38.5</v>
      </c>
      <c r="J36" s="20" t="s">
        <v>46</v>
      </c>
      <c r="K36" s="21">
        <v>1.5</v>
      </c>
      <c r="L36" s="21">
        <v>10</v>
      </c>
      <c r="M36" s="21" t="s">
        <v>47</v>
      </c>
      <c r="O36" s="25">
        <v>6</v>
      </c>
      <c r="P36" s="20" t="s">
        <v>95</v>
      </c>
      <c r="Q36" s="18" t="str">
        <f ca="1">IFERROR(__xludf.DUMMYFUNCTION("IF(P368="""","""",IF(REGEXMATCH(UPPER(P368),""CITRATE""),""Citrate"",IF(REGEXMATCH(UPPER(P368),""ACETATE""),""Sodium Acetate"",IF(REGEXMATCH(UPPER(P368),""PBS""),""PBS"",IF(REGEXMATCH(UPPER(P368),""TRIS""),""Tris"",IF(REGEXMATCH(UPPER(P368),""HEPES""),""H"&amp;"EPES"",IF(REGEXMATCH(UPPER(P368),""HISTIDINE""),""Histidine"",IF(REGEXMATCH(UPPER(P368),""SUCCINATE""),""Succinate"",IF(REGEXMATCH(UPPER(P368),""GLYCINE""),""Glycine"",P368)))))))))"),"Citrate")</f>
        <v>Citrate</v>
      </c>
      <c r="R36" s="19">
        <v>4</v>
      </c>
      <c r="S36" s="19">
        <v>25</v>
      </c>
      <c r="T36" s="22">
        <v>6</v>
      </c>
      <c r="U36" s="22">
        <v>12</v>
      </c>
      <c r="W36" s="21" t="s">
        <v>168</v>
      </c>
      <c r="X36" s="20" t="s">
        <v>84</v>
      </c>
      <c r="Y36" s="21" t="s">
        <v>169</v>
      </c>
      <c r="Z36" s="21" t="s">
        <v>65</v>
      </c>
    </row>
    <row r="37" spans="1:26" ht="18" customHeight="1">
      <c r="A37">
        <f t="shared" si="0"/>
        <v>34</v>
      </c>
      <c r="E37" s="20" t="s">
        <v>49</v>
      </c>
      <c r="F37" s="21">
        <v>50</v>
      </c>
      <c r="G37" s="20" t="s">
        <v>50</v>
      </c>
      <c r="H37" s="21">
        <v>10</v>
      </c>
      <c r="I37" s="22">
        <v>38.5</v>
      </c>
      <c r="J37" s="20" t="s">
        <v>46</v>
      </c>
      <c r="K37" s="21">
        <v>1.5</v>
      </c>
      <c r="L37" s="21">
        <v>10</v>
      </c>
      <c r="M37" s="21" t="s">
        <v>47</v>
      </c>
      <c r="O37" s="25">
        <v>6</v>
      </c>
      <c r="P37" s="20" t="s">
        <v>95</v>
      </c>
      <c r="Q37" s="18" t="str">
        <f ca="1">IFERROR(__xludf.DUMMYFUNCTION("IF(P369="""","""",IF(REGEXMATCH(UPPER(P369),""CITRATE""),""Citrate"",IF(REGEXMATCH(UPPER(P369),""ACETATE""),""Sodium Acetate"",IF(REGEXMATCH(UPPER(P369),""PBS""),""PBS"",IF(REGEXMATCH(UPPER(P369),""TRIS""),""Tris"",IF(REGEXMATCH(UPPER(P369),""HEPES""),""H"&amp;"EPES"",IF(REGEXMATCH(UPPER(P369),""HISTIDINE""),""Histidine"",IF(REGEXMATCH(UPPER(P369),""SUCCINATE""),""Succinate"",IF(REGEXMATCH(UPPER(P369),""GLYCINE""),""Glycine"",P369)))))))))"),"Citrate")</f>
        <v>Citrate</v>
      </c>
      <c r="R37" s="19">
        <v>4</v>
      </c>
      <c r="S37" s="19">
        <v>25</v>
      </c>
      <c r="T37" s="24">
        <v>6</v>
      </c>
      <c r="U37" s="24">
        <v>12</v>
      </c>
      <c r="W37" s="21" t="s">
        <v>79</v>
      </c>
      <c r="X37" s="20" t="s">
        <v>54</v>
      </c>
      <c r="Y37" s="21">
        <v>3.2</v>
      </c>
      <c r="Z37" s="21">
        <v>82</v>
      </c>
    </row>
    <row r="38" spans="1:26" ht="18" customHeight="1">
      <c r="A38">
        <f t="shared" si="0"/>
        <v>35</v>
      </c>
      <c r="E38" s="20" t="s">
        <v>48</v>
      </c>
      <c r="F38" s="21">
        <v>50</v>
      </c>
      <c r="G38" s="20" t="s">
        <v>50</v>
      </c>
      <c r="H38" s="21">
        <v>10</v>
      </c>
      <c r="I38" s="22">
        <v>38.5</v>
      </c>
      <c r="J38" s="20" t="s">
        <v>46</v>
      </c>
      <c r="K38" s="21">
        <v>1.5</v>
      </c>
      <c r="L38" s="21">
        <v>10</v>
      </c>
      <c r="M38" s="21" t="s">
        <v>47</v>
      </c>
      <c r="O38" s="25">
        <v>6</v>
      </c>
      <c r="P38" s="20" t="s">
        <v>95</v>
      </c>
      <c r="Q38" s="18" t="str">
        <f ca="1">IFERROR(__xludf.DUMMYFUNCTION("IF(P370="""","""",IF(REGEXMATCH(UPPER(P370),""CITRATE""),""Citrate"",IF(REGEXMATCH(UPPER(P370),""ACETATE""),""Sodium Acetate"",IF(REGEXMATCH(UPPER(P370),""PBS""),""PBS"",IF(REGEXMATCH(UPPER(P370),""TRIS""),""Tris"",IF(REGEXMATCH(UPPER(P370),""HEPES""),""H"&amp;"EPES"",IF(REGEXMATCH(UPPER(P370),""HISTIDINE""),""Histidine"",IF(REGEXMATCH(UPPER(P370),""SUCCINATE""),""Succinate"",IF(REGEXMATCH(UPPER(P370),""GLYCINE""),""Glycine"",P370)))))))))"),"Citrate")</f>
        <v>Citrate</v>
      </c>
      <c r="R38" s="19">
        <v>4</v>
      </c>
      <c r="S38" s="19">
        <v>25</v>
      </c>
      <c r="T38" s="22">
        <v>6</v>
      </c>
      <c r="U38" s="22">
        <v>12</v>
      </c>
      <c r="W38" s="21" t="s">
        <v>96</v>
      </c>
      <c r="X38" s="20" t="s">
        <v>62</v>
      </c>
      <c r="Y38" s="21">
        <v>2.1</v>
      </c>
      <c r="Z38" s="21">
        <v>76</v>
      </c>
    </row>
    <row r="39" spans="1:26" ht="18" customHeight="1">
      <c r="A39">
        <f t="shared" si="0"/>
        <v>36</v>
      </c>
      <c r="E39" s="20" t="s">
        <v>48</v>
      </c>
      <c r="F39" s="21">
        <v>50</v>
      </c>
      <c r="G39" s="20" t="s">
        <v>50</v>
      </c>
      <c r="H39" s="21">
        <v>10</v>
      </c>
      <c r="I39" s="22">
        <v>38.5</v>
      </c>
      <c r="J39" s="20" t="s">
        <v>46</v>
      </c>
      <c r="K39" s="21">
        <v>1.5</v>
      </c>
      <c r="L39" s="21">
        <v>10</v>
      </c>
      <c r="M39" s="21" t="s">
        <v>47</v>
      </c>
      <c r="O39" s="25">
        <v>6</v>
      </c>
      <c r="P39" s="20" t="s">
        <v>95</v>
      </c>
      <c r="Q39" s="18" t="str">
        <f ca="1">IFERROR(__xludf.DUMMYFUNCTION("IF(P371="""","""",IF(REGEXMATCH(UPPER(P371),""CITRATE""),""Citrate"",IF(REGEXMATCH(UPPER(P371),""ACETATE""),""Sodium Acetate"",IF(REGEXMATCH(UPPER(P371),""PBS""),""PBS"",IF(REGEXMATCH(UPPER(P371),""TRIS""),""Tris"",IF(REGEXMATCH(UPPER(P371),""HEPES""),""H"&amp;"EPES"",IF(REGEXMATCH(UPPER(P371),""HISTIDINE""),""Histidine"",IF(REGEXMATCH(UPPER(P371),""SUCCINATE""),""Succinate"",IF(REGEXMATCH(UPPER(P371),""GLYCINE""),""Glycine"",P371)))))))))"),"Citrate")</f>
        <v>Citrate</v>
      </c>
      <c r="R39" s="19">
        <v>4</v>
      </c>
      <c r="S39" s="19">
        <v>25</v>
      </c>
      <c r="T39" s="24">
        <v>6</v>
      </c>
      <c r="U39" s="24">
        <v>12</v>
      </c>
      <c r="W39" s="21" t="s">
        <v>89</v>
      </c>
      <c r="X39" s="20" t="s">
        <v>57</v>
      </c>
      <c r="Y39" s="21">
        <v>-0.9</v>
      </c>
      <c r="Z39" s="21">
        <v>85</v>
      </c>
    </row>
    <row r="40" spans="1:26" ht="18" customHeight="1">
      <c r="A40">
        <f t="shared" si="0"/>
        <v>37</v>
      </c>
      <c r="E40" s="20" t="s">
        <v>48</v>
      </c>
      <c r="F40" s="21">
        <v>50</v>
      </c>
      <c r="G40" s="20" t="s">
        <v>50</v>
      </c>
      <c r="H40" s="21">
        <v>10</v>
      </c>
      <c r="I40" s="22">
        <v>38.5</v>
      </c>
      <c r="J40" s="20" t="s">
        <v>46</v>
      </c>
      <c r="K40" s="21">
        <v>1.5</v>
      </c>
      <c r="L40" s="21">
        <v>10</v>
      </c>
      <c r="M40" s="21" t="s">
        <v>47</v>
      </c>
      <c r="O40" s="25">
        <v>6</v>
      </c>
      <c r="P40" s="20" t="s">
        <v>95</v>
      </c>
      <c r="Q40" s="18" t="str">
        <f ca="1">IFERROR(__xludf.DUMMYFUNCTION("IF(P372="""","""",IF(REGEXMATCH(UPPER(P372),""CITRATE""),""Citrate"",IF(REGEXMATCH(UPPER(P372),""ACETATE""),""Sodium Acetate"",IF(REGEXMATCH(UPPER(P372),""PBS""),""PBS"",IF(REGEXMATCH(UPPER(P372),""TRIS""),""Tris"",IF(REGEXMATCH(UPPER(P372),""HEPES""),""H"&amp;"EPES"",IF(REGEXMATCH(UPPER(P372),""HISTIDINE""),""Histidine"",IF(REGEXMATCH(UPPER(P372),""SUCCINATE""),""Succinate"",IF(REGEXMATCH(UPPER(P372),""GLYCINE""),""Glycine"",P372)))))))))"),"Citrate")</f>
        <v>Citrate</v>
      </c>
      <c r="R40" s="19">
        <v>4</v>
      </c>
      <c r="S40" s="19">
        <v>25</v>
      </c>
      <c r="T40" s="22">
        <v>6</v>
      </c>
      <c r="U40" s="22">
        <v>12</v>
      </c>
      <c r="W40" s="21" t="s">
        <v>170</v>
      </c>
      <c r="X40" s="20" t="s">
        <v>56</v>
      </c>
      <c r="Y40" s="21">
        <v>0.5</v>
      </c>
      <c r="Z40" s="21">
        <v>79</v>
      </c>
    </row>
    <row r="41" spans="1:26" ht="18" customHeight="1">
      <c r="A41">
        <f t="shared" si="0"/>
        <v>38</v>
      </c>
      <c r="E41" s="20" t="s">
        <v>49</v>
      </c>
      <c r="F41" s="21">
        <v>50</v>
      </c>
      <c r="G41" s="20" t="s">
        <v>50</v>
      </c>
      <c r="H41" s="21">
        <v>10</v>
      </c>
      <c r="I41" s="22">
        <v>38.5</v>
      </c>
      <c r="J41" s="20" t="s">
        <v>46</v>
      </c>
      <c r="K41" s="21">
        <v>1.5</v>
      </c>
      <c r="L41" s="21">
        <v>10</v>
      </c>
      <c r="M41" s="21" t="s">
        <v>47</v>
      </c>
      <c r="O41" s="25">
        <v>6</v>
      </c>
      <c r="P41" s="20" t="s">
        <v>95</v>
      </c>
      <c r="Q41" s="18" t="str">
        <f ca="1">IFERROR(__xludf.DUMMYFUNCTION("IF(P373="""","""",IF(REGEXMATCH(UPPER(P373),""CITRATE""),""Citrate"",IF(REGEXMATCH(UPPER(P373),""ACETATE""),""Sodium Acetate"",IF(REGEXMATCH(UPPER(P373),""PBS""),""PBS"",IF(REGEXMATCH(UPPER(P373),""TRIS""),""Tris"",IF(REGEXMATCH(UPPER(P373),""HEPES""),""H"&amp;"EPES"",IF(REGEXMATCH(UPPER(P373),""HISTIDINE""),""Histidine"",IF(REGEXMATCH(UPPER(P373),""SUCCINATE""),""Succinate"",IF(REGEXMATCH(UPPER(P373),""GLYCINE""),""Glycine"",P373)))))))))"),"Citrate")</f>
        <v>Citrate</v>
      </c>
      <c r="R41" s="19">
        <v>4</v>
      </c>
      <c r="S41" s="19">
        <v>25</v>
      </c>
      <c r="T41" s="24">
        <v>6</v>
      </c>
      <c r="U41" s="24">
        <v>12</v>
      </c>
      <c r="W41" s="21" t="s">
        <v>171</v>
      </c>
      <c r="X41" s="20" t="s">
        <v>53</v>
      </c>
      <c r="Y41" s="21">
        <v>0.7</v>
      </c>
      <c r="Z41" s="21">
        <v>87</v>
      </c>
    </row>
    <row r="42" spans="1:26" ht="18" customHeight="1">
      <c r="A42">
        <f t="shared" si="0"/>
        <v>39</v>
      </c>
      <c r="E42" s="20" t="s">
        <v>49</v>
      </c>
      <c r="F42" s="21">
        <v>50</v>
      </c>
      <c r="G42" s="20" t="s">
        <v>50</v>
      </c>
      <c r="H42" s="21">
        <v>10</v>
      </c>
      <c r="I42" s="22">
        <v>38.5</v>
      </c>
      <c r="J42" s="20" t="s">
        <v>46</v>
      </c>
      <c r="K42" s="21">
        <v>1.5</v>
      </c>
      <c r="L42" s="21">
        <v>10</v>
      </c>
      <c r="M42" s="21" t="s">
        <v>47</v>
      </c>
      <c r="O42" s="25">
        <v>6</v>
      </c>
      <c r="P42" s="20" t="s">
        <v>95</v>
      </c>
      <c r="Q42" s="18" t="str">
        <f ca="1">IFERROR(__xludf.DUMMYFUNCTION("IF(P374="""","""",IF(REGEXMATCH(UPPER(P374),""CITRATE""),""Citrate"",IF(REGEXMATCH(UPPER(P374),""ACETATE""),""Sodium Acetate"",IF(REGEXMATCH(UPPER(P374),""PBS""),""PBS"",IF(REGEXMATCH(UPPER(P374),""TRIS""),""Tris"",IF(REGEXMATCH(UPPER(P374),""HEPES""),""H"&amp;"EPES"",IF(REGEXMATCH(UPPER(P374),""HISTIDINE""),""Histidine"",IF(REGEXMATCH(UPPER(P374),""SUCCINATE""),""Succinate"",IF(REGEXMATCH(UPPER(P374),""GLYCINE""),""Glycine"",P374)))))))))"),"Citrate")</f>
        <v>Citrate</v>
      </c>
      <c r="R42" s="19">
        <v>4</v>
      </c>
      <c r="S42" s="19">
        <v>25</v>
      </c>
      <c r="T42" s="22">
        <v>6</v>
      </c>
      <c r="U42" s="22">
        <v>12</v>
      </c>
      <c r="W42" s="21" t="s">
        <v>74</v>
      </c>
      <c r="X42" s="20" t="s">
        <v>55</v>
      </c>
      <c r="Y42" s="21">
        <v>-2.1</v>
      </c>
      <c r="Z42" s="21">
        <v>81</v>
      </c>
    </row>
    <row r="43" spans="1:26" ht="18" customHeight="1">
      <c r="A43">
        <f t="shared" si="0"/>
        <v>40</v>
      </c>
      <c r="E43" s="20" t="s">
        <v>49</v>
      </c>
      <c r="F43" s="21">
        <v>50</v>
      </c>
      <c r="G43" s="20" t="s">
        <v>50</v>
      </c>
      <c r="H43" s="21">
        <v>10</v>
      </c>
      <c r="I43" s="22">
        <v>38.5</v>
      </c>
      <c r="J43" s="20" t="s">
        <v>46</v>
      </c>
      <c r="K43" s="21">
        <v>1.5</v>
      </c>
      <c r="L43" s="21">
        <v>10</v>
      </c>
      <c r="M43" s="21" t="s">
        <v>47</v>
      </c>
      <c r="O43" s="25">
        <v>6</v>
      </c>
      <c r="P43" s="20" t="s">
        <v>95</v>
      </c>
      <c r="Q43" s="18" t="str">
        <f ca="1">IFERROR(__xludf.DUMMYFUNCTION("IF(P375="""","""",IF(REGEXMATCH(UPPER(P375),""CITRATE""),""Citrate"",IF(REGEXMATCH(UPPER(P375),""ACETATE""),""Sodium Acetate"",IF(REGEXMATCH(UPPER(P375),""PBS""),""PBS"",IF(REGEXMATCH(UPPER(P375),""TRIS""),""Tris"",IF(REGEXMATCH(UPPER(P375),""HEPES""),""H"&amp;"EPES"",IF(REGEXMATCH(UPPER(P375),""HISTIDINE""),""Histidine"",IF(REGEXMATCH(UPPER(P375),""SUCCINATE""),""Succinate"",IF(REGEXMATCH(UPPER(P375),""GLYCINE""),""Glycine"",P375)))))))))"),"Citrate")</f>
        <v>Citrate</v>
      </c>
      <c r="R43" s="19">
        <v>4</v>
      </c>
      <c r="S43" s="19">
        <v>25</v>
      </c>
      <c r="T43" s="24">
        <v>6</v>
      </c>
      <c r="U43" s="24">
        <v>12</v>
      </c>
      <c r="W43" s="21" t="s">
        <v>172</v>
      </c>
      <c r="X43" s="20" t="s">
        <v>51</v>
      </c>
      <c r="Y43" s="21">
        <v>3.2</v>
      </c>
      <c r="Z43" s="21">
        <v>77</v>
      </c>
    </row>
    <row r="44" spans="1:26" ht="18" customHeight="1">
      <c r="A44">
        <f t="shared" si="0"/>
        <v>41</v>
      </c>
      <c r="E44" s="20" t="s">
        <v>48</v>
      </c>
      <c r="F44" s="21">
        <v>50</v>
      </c>
      <c r="G44" s="20" t="s">
        <v>50</v>
      </c>
      <c r="H44" s="21">
        <v>10</v>
      </c>
      <c r="I44" s="22">
        <v>38.5</v>
      </c>
      <c r="J44" s="20" t="s">
        <v>46</v>
      </c>
      <c r="K44" s="21">
        <v>1.5</v>
      </c>
      <c r="L44" s="21">
        <v>10</v>
      </c>
      <c r="M44" s="21" t="s">
        <v>47</v>
      </c>
      <c r="O44" s="25">
        <v>6</v>
      </c>
      <c r="P44" s="20" t="s">
        <v>95</v>
      </c>
      <c r="Q44" s="18" t="str">
        <f ca="1">IFERROR(__xludf.DUMMYFUNCTION("IF(P376="""","""",IF(REGEXMATCH(UPPER(P376),""CITRATE""),""Citrate"",IF(REGEXMATCH(UPPER(P376),""ACETATE""),""Sodium Acetate"",IF(REGEXMATCH(UPPER(P376),""PBS""),""PBS"",IF(REGEXMATCH(UPPER(P376),""TRIS""),""Tris"",IF(REGEXMATCH(UPPER(P376),""HEPES""),""H"&amp;"EPES"",IF(REGEXMATCH(UPPER(P376),""HISTIDINE""),""Histidine"",IF(REGEXMATCH(UPPER(P376),""SUCCINATE""),""Succinate"",IF(REGEXMATCH(UPPER(P376),""GLYCINE""),""Glycine"",P376)))))))))"),"Citrate")</f>
        <v>Citrate</v>
      </c>
      <c r="R44" s="19">
        <v>4</v>
      </c>
      <c r="S44" s="19">
        <v>25</v>
      </c>
      <c r="T44" s="22">
        <v>6</v>
      </c>
      <c r="U44" s="22">
        <v>12</v>
      </c>
      <c r="W44" s="21" t="s">
        <v>173</v>
      </c>
      <c r="X44" s="20" t="s">
        <v>174</v>
      </c>
      <c r="Y44" s="21">
        <v>-0.9</v>
      </c>
      <c r="Z44" s="21">
        <v>84</v>
      </c>
    </row>
    <row r="45" spans="1:26" ht="18" customHeight="1">
      <c r="A45">
        <f t="shared" si="0"/>
        <v>42</v>
      </c>
      <c r="E45" s="20" t="s">
        <v>48</v>
      </c>
      <c r="F45" s="21">
        <v>50</v>
      </c>
      <c r="G45" s="20" t="s">
        <v>50</v>
      </c>
      <c r="H45" s="21">
        <v>10</v>
      </c>
      <c r="I45" s="22">
        <v>38.5</v>
      </c>
      <c r="J45" s="20" t="s">
        <v>46</v>
      </c>
      <c r="K45" s="21">
        <v>1.5</v>
      </c>
      <c r="L45" s="21">
        <v>10</v>
      </c>
      <c r="M45" s="21" t="s">
        <v>47</v>
      </c>
      <c r="O45" s="25">
        <v>6</v>
      </c>
      <c r="P45" s="20" t="s">
        <v>95</v>
      </c>
      <c r="Q45" s="18" t="str">
        <f ca="1">IFERROR(__xludf.DUMMYFUNCTION("IF(P377="""","""",IF(REGEXMATCH(UPPER(P377),""CITRATE""),""Citrate"",IF(REGEXMATCH(UPPER(P377),""ACETATE""),""Sodium Acetate"",IF(REGEXMATCH(UPPER(P377),""PBS""),""PBS"",IF(REGEXMATCH(UPPER(P377),""TRIS""),""Tris"",IF(REGEXMATCH(UPPER(P377),""HEPES""),""H"&amp;"EPES"",IF(REGEXMATCH(UPPER(P377),""HISTIDINE""),""Histidine"",IF(REGEXMATCH(UPPER(P377),""SUCCINATE""),""Succinate"",IF(REGEXMATCH(UPPER(P377),""GLYCINE""),""Glycine"",P377)))))))))"),"Citrate")</f>
        <v>Citrate</v>
      </c>
      <c r="R45" s="19">
        <v>4</v>
      </c>
      <c r="S45" s="19">
        <v>25</v>
      </c>
      <c r="T45" s="24">
        <v>6</v>
      </c>
      <c r="U45" s="24">
        <v>12</v>
      </c>
      <c r="W45" s="21" t="s">
        <v>175</v>
      </c>
      <c r="X45" s="20" t="s">
        <v>58</v>
      </c>
      <c r="Y45" s="21">
        <v>-2.4</v>
      </c>
      <c r="Z45" s="21">
        <v>80</v>
      </c>
    </row>
    <row r="46" spans="1:26" ht="18" customHeight="1">
      <c r="A46">
        <f t="shared" si="0"/>
        <v>43</v>
      </c>
      <c r="E46" s="20" t="s">
        <v>49</v>
      </c>
      <c r="F46" s="21">
        <v>50</v>
      </c>
      <c r="G46" s="20" t="s">
        <v>50</v>
      </c>
      <c r="H46" s="21">
        <v>10</v>
      </c>
      <c r="I46" s="22">
        <v>38.5</v>
      </c>
      <c r="J46" s="20" t="s">
        <v>46</v>
      </c>
      <c r="K46" s="21">
        <v>1.5</v>
      </c>
      <c r="L46" s="21">
        <v>10</v>
      </c>
      <c r="M46" s="21" t="s">
        <v>47</v>
      </c>
      <c r="O46" s="25">
        <v>6</v>
      </c>
      <c r="P46" s="20" t="s">
        <v>95</v>
      </c>
      <c r="Q46" s="18" t="str">
        <f ca="1">IFERROR(__xludf.DUMMYFUNCTION("IF(P378="""","""",IF(REGEXMATCH(UPPER(P378),""CITRATE""),""Citrate"",IF(REGEXMATCH(UPPER(P378),""ACETATE""),""Sodium Acetate"",IF(REGEXMATCH(UPPER(P378),""PBS""),""PBS"",IF(REGEXMATCH(UPPER(P378),""TRIS""),""Tris"",IF(REGEXMATCH(UPPER(P378),""HEPES""),""H"&amp;"EPES"",IF(REGEXMATCH(UPPER(P378),""HISTIDINE""),""Histidine"",IF(REGEXMATCH(UPPER(P378),""SUCCINATE""),""Succinate"",IF(REGEXMATCH(UPPER(P378),""GLYCINE""),""Glycine"",P378)))))))))"),"Citrate")</f>
        <v>Citrate</v>
      </c>
      <c r="R46" s="19">
        <v>4</v>
      </c>
      <c r="S46" s="19">
        <v>25</v>
      </c>
      <c r="T46" s="22">
        <v>6</v>
      </c>
      <c r="U46" s="22">
        <v>12</v>
      </c>
      <c r="W46" s="21" t="s">
        <v>176</v>
      </c>
      <c r="X46" s="20" t="s">
        <v>61</v>
      </c>
      <c r="Y46" s="21">
        <v>2.8</v>
      </c>
      <c r="Z46" s="21">
        <v>83</v>
      </c>
    </row>
    <row r="47" spans="1:26" ht="18" customHeight="1">
      <c r="A47">
        <f t="shared" si="0"/>
        <v>44</v>
      </c>
      <c r="E47" s="20" t="s">
        <v>49</v>
      </c>
      <c r="F47" s="21">
        <v>50</v>
      </c>
      <c r="G47" s="20" t="s">
        <v>50</v>
      </c>
      <c r="H47" s="21">
        <v>10</v>
      </c>
      <c r="I47" s="22">
        <v>38.5</v>
      </c>
      <c r="J47" s="20" t="s">
        <v>46</v>
      </c>
      <c r="K47" s="21">
        <v>1.5</v>
      </c>
      <c r="L47" s="21">
        <v>10</v>
      </c>
      <c r="M47" s="21" t="s">
        <v>47</v>
      </c>
      <c r="O47" s="25">
        <v>6</v>
      </c>
      <c r="P47" s="20" t="s">
        <v>95</v>
      </c>
      <c r="Q47" s="18" t="str">
        <f ca="1">IFERROR(__xludf.DUMMYFUNCTION("IF(P379="""","""",IF(REGEXMATCH(UPPER(P379),""CITRATE""),""Citrate"",IF(REGEXMATCH(UPPER(P379),""ACETATE""),""Sodium Acetate"",IF(REGEXMATCH(UPPER(P379),""PBS""),""PBS"",IF(REGEXMATCH(UPPER(P379),""TRIS""),""Tris"",IF(REGEXMATCH(UPPER(P379),""HEPES""),""H"&amp;"EPES"",IF(REGEXMATCH(UPPER(P379),""HISTIDINE""),""Histidine"",IF(REGEXMATCH(UPPER(P379),""SUCCINATE""),""Succinate"",IF(REGEXMATCH(UPPER(P379),""GLYCINE""),""Glycine"",P379)))))))))"),"Citrate")</f>
        <v>Citrate</v>
      </c>
      <c r="R47" s="19">
        <v>4</v>
      </c>
      <c r="S47" s="19">
        <v>25</v>
      </c>
      <c r="T47" s="24">
        <v>6</v>
      </c>
      <c r="U47" s="24">
        <v>12</v>
      </c>
      <c r="W47" s="21" t="s">
        <v>177</v>
      </c>
      <c r="X47" s="20" t="s">
        <v>60</v>
      </c>
      <c r="Y47" s="21">
        <v>0.7</v>
      </c>
      <c r="Z47" s="21">
        <v>75</v>
      </c>
    </row>
    <row r="48" spans="1:26" ht="18" customHeight="1">
      <c r="A48">
        <f t="shared" si="0"/>
        <v>45</v>
      </c>
      <c r="E48" s="20" t="s">
        <v>49</v>
      </c>
      <c r="F48" s="21">
        <v>50</v>
      </c>
      <c r="G48" s="20" t="s">
        <v>50</v>
      </c>
      <c r="H48" s="21">
        <v>10</v>
      </c>
      <c r="I48" s="22">
        <v>38.5</v>
      </c>
      <c r="J48" s="20" t="s">
        <v>46</v>
      </c>
      <c r="K48" s="21">
        <v>1.5</v>
      </c>
      <c r="L48" s="21">
        <v>10</v>
      </c>
      <c r="M48" s="21" t="s">
        <v>47</v>
      </c>
      <c r="O48" s="25">
        <v>6</v>
      </c>
      <c r="P48" s="20" t="s">
        <v>95</v>
      </c>
      <c r="Q48" s="18" t="str">
        <f ca="1">IFERROR(__xludf.DUMMYFUNCTION("IF(P380="""","""",IF(REGEXMATCH(UPPER(P380),""CITRATE""),""Citrate"",IF(REGEXMATCH(UPPER(P380),""ACETATE""),""Sodium Acetate"",IF(REGEXMATCH(UPPER(P380),""PBS""),""PBS"",IF(REGEXMATCH(UPPER(P380),""TRIS""),""Tris"",IF(REGEXMATCH(UPPER(P380),""HEPES""),""H"&amp;"EPES"",IF(REGEXMATCH(UPPER(P380),""HISTIDINE""),""Histidine"",IF(REGEXMATCH(UPPER(P380),""SUCCINATE""),""Succinate"",IF(REGEXMATCH(UPPER(P380),""GLYCINE""),""Glycine"",P380)))))))))"),"Citrate")</f>
        <v>Citrate</v>
      </c>
      <c r="R48" s="19">
        <v>4</v>
      </c>
      <c r="S48" s="19">
        <v>25</v>
      </c>
      <c r="T48" s="22">
        <v>6</v>
      </c>
      <c r="U48" s="22">
        <v>12</v>
      </c>
      <c r="W48" s="21" t="s">
        <v>178</v>
      </c>
      <c r="X48" s="20" t="s">
        <v>179</v>
      </c>
      <c r="Y48" s="21">
        <v>0.8</v>
      </c>
      <c r="Z48" s="21">
        <v>86</v>
      </c>
    </row>
    <row r="49" spans="1:26" ht="18" customHeight="1">
      <c r="A49">
        <f t="shared" si="0"/>
        <v>46</v>
      </c>
      <c r="E49" s="20" t="s">
        <v>48</v>
      </c>
      <c r="F49" s="21">
        <v>50</v>
      </c>
      <c r="G49" s="20" t="s">
        <v>50</v>
      </c>
      <c r="H49" s="21">
        <v>10</v>
      </c>
      <c r="I49" s="22">
        <v>38.5</v>
      </c>
      <c r="J49" s="20" t="s">
        <v>46</v>
      </c>
      <c r="K49" s="21">
        <v>1.5</v>
      </c>
      <c r="L49" s="21">
        <v>10</v>
      </c>
      <c r="M49" s="21" t="s">
        <v>47</v>
      </c>
      <c r="O49" s="25">
        <v>6</v>
      </c>
      <c r="P49" s="20" t="s">
        <v>95</v>
      </c>
      <c r="Q49" s="18" t="str">
        <f ca="1">IFERROR(__xludf.DUMMYFUNCTION("IF(P381="""","""",IF(REGEXMATCH(UPPER(P381),""CITRATE""),""Citrate"",IF(REGEXMATCH(UPPER(P381),""ACETATE""),""Sodium Acetate"",IF(REGEXMATCH(UPPER(P381),""PBS""),""PBS"",IF(REGEXMATCH(UPPER(P381),""TRIS""),""Tris"",IF(REGEXMATCH(UPPER(P381),""HEPES""),""H"&amp;"EPES"",IF(REGEXMATCH(UPPER(P381),""HISTIDINE""),""Histidine"",IF(REGEXMATCH(UPPER(P381),""SUCCINATE""),""Succinate"",IF(REGEXMATCH(UPPER(P381),""GLYCINE""),""Glycine"",P381)))))))))"),"Citrate")</f>
        <v>Citrate</v>
      </c>
      <c r="R49" s="19">
        <v>4</v>
      </c>
      <c r="S49" s="19">
        <v>25</v>
      </c>
      <c r="T49" s="24">
        <v>6</v>
      </c>
      <c r="U49" s="24">
        <v>12</v>
      </c>
      <c r="W49" s="21" t="s">
        <v>108</v>
      </c>
      <c r="X49" s="20" t="s">
        <v>56</v>
      </c>
      <c r="Y49" s="21">
        <v>-0.8</v>
      </c>
      <c r="Z49" s="21">
        <v>78</v>
      </c>
    </row>
    <row r="50" spans="1:26" ht="18" customHeight="1">
      <c r="A50">
        <f t="shared" si="0"/>
        <v>47</v>
      </c>
      <c r="E50" s="20" t="s">
        <v>49</v>
      </c>
      <c r="F50" s="21">
        <v>50</v>
      </c>
      <c r="G50" s="20" t="s">
        <v>50</v>
      </c>
      <c r="H50" s="21">
        <v>10</v>
      </c>
      <c r="I50" s="22">
        <v>38.5</v>
      </c>
      <c r="J50" s="20" t="s">
        <v>46</v>
      </c>
      <c r="K50" s="21">
        <v>1.5</v>
      </c>
      <c r="L50" s="21">
        <v>10</v>
      </c>
      <c r="M50" s="21" t="s">
        <v>47</v>
      </c>
      <c r="O50" s="25">
        <v>6</v>
      </c>
      <c r="P50" s="20" t="s">
        <v>95</v>
      </c>
      <c r="Q50" s="18" t="str">
        <f ca="1">IFERROR(__xludf.DUMMYFUNCTION("IF(P382="""","""",IF(REGEXMATCH(UPPER(P382),""CITRATE""),""Citrate"",IF(REGEXMATCH(UPPER(P382),""ACETATE""),""Sodium Acetate"",IF(REGEXMATCH(UPPER(P382),""PBS""),""PBS"",IF(REGEXMATCH(UPPER(P382),""TRIS""),""Tris"",IF(REGEXMATCH(UPPER(P382),""HEPES""),""H"&amp;"EPES"",IF(REGEXMATCH(UPPER(P382),""HISTIDINE""),""Histidine"",IF(REGEXMATCH(UPPER(P382),""SUCCINATE""),""Succinate"",IF(REGEXMATCH(UPPER(P382),""GLYCINE""),""Glycine"",P382)))))))))"),"Citrate")</f>
        <v>Citrate</v>
      </c>
      <c r="R50" s="19">
        <v>4</v>
      </c>
      <c r="S50" s="19">
        <v>25</v>
      </c>
      <c r="T50" s="22">
        <v>6</v>
      </c>
      <c r="U50" s="22">
        <v>12</v>
      </c>
      <c r="W50" s="21" t="s">
        <v>180</v>
      </c>
      <c r="X50" s="20" t="s">
        <v>62</v>
      </c>
      <c r="Y50" s="21">
        <v>2.4</v>
      </c>
      <c r="Z50" s="21">
        <v>82</v>
      </c>
    </row>
    <row r="51" spans="1:26" ht="18" customHeight="1">
      <c r="A51">
        <f t="shared" si="0"/>
        <v>48</v>
      </c>
      <c r="E51" s="20" t="s">
        <v>49</v>
      </c>
      <c r="F51" s="21">
        <v>50</v>
      </c>
      <c r="G51" s="20" t="s">
        <v>50</v>
      </c>
      <c r="H51" s="21">
        <v>10</v>
      </c>
      <c r="I51" s="22">
        <v>38.5</v>
      </c>
      <c r="J51" s="20" t="s">
        <v>46</v>
      </c>
      <c r="K51" s="21">
        <v>1.5</v>
      </c>
      <c r="L51" s="21">
        <v>10</v>
      </c>
      <c r="M51" s="21" t="s">
        <v>47</v>
      </c>
      <c r="O51" s="25">
        <v>6</v>
      </c>
      <c r="P51" s="20" t="s">
        <v>95</v>
      </c>
      <c r="Q51" s="18" t="str">
        <f ca="1">IFERROR(__xludf.DUMMYFUNCTION("IF(P383="""","""",IF(REGEXMATCH(UPPER(P383),""CITRATE""),""Citrate"",IF(REGEXMATCH(UPPER(P383),""ACETATE""),""Sodium Acetate"",IF(REGEXMATCH(UPPER(P383),""PBS""),""PBS"",IF(REGEXMATCH(UPPER(P383),""TRIS""),""Tris"",IF(REGEXMATCH(UPPER(P383),""HEPES""),""H"&amp;"EPES"",IF(REGEXMATCH(UPPER(P383),""HISTIDINE""),""Histidine"",IF(REGEXMATCH(UPPER(P383),""SUCCINATE""),""Succinate"",IF(REGEXMATCH(UPPER(P383),""GLYCINE""),""Glycine"",P383)))))))))"),"Citrate")</f>
        <v>Citrate</v>
      </c>
      <c r="R51" s="19">
        <v>4</v>
      </c>
      <c r="S51" s="19">
        <v>25</v>
      </c>
      <c r="T51" s="24">
        <v>6</v>
      </c>
      <c r="U51" s="24">
        <v>12</v>
      </c>
      <c r="W51" s="21" t="s">
        <v>71</v>
      </c>
      <c r="X51" s="20" t="s">
        <v>57</v>
      </c>
      <c r="Y51" s="21">
        <v>-3.4</v>
      </c>
      <c r="Z51" s="21">
        <v>81</v>
      </c>
    </row>
    <row r="52" spans="1:26" ht="18" customHeight="1">
      <c r="A52">
        <f t="shared" si="0"/>
        <v>49</v>
      </c>
      <c r="E52" s="20" t="s">
        <v>48</v>
      </c>
      <c r="F52" s="21">
        <v>50</v>
      </c>
      <c r="G52" s="20" t="s">
        <v>50</v>
      </c>
      <c r="H52" s="21">
        <v>10</v>
      </c>
      <c r="I52" s="22">
        <v>38.5</v>
      </c>
      <c r="J52" s="20" t="s">
        <v>46</v>
      </c>
      <c r="K52" s="21">
        <v>1.5</v>
      </c>
      <c r="L52" s="21">
        <v>10</v>
      </c>
      <c r="M52" s="21" t="s">
        <v>47</v>
      </c>
      <c r="O52" s="25">
        <v>6</v>
      </c>
      <c r="P52" s="20" t="s">
        <v>95</v>
      </c>
      <c r="Q52" s="18" t="str">
        <f ca="1">IFERROR(__xludf.DUMMYFUNCTION("IF(P384="""","""",IF(REGEXMATCH(UPPER(P384),""CITRATE""),""Citrate"",IF(REGEXMATCH(UPPER(P384),""ACETATE""),""Sodium Acetate"",IF(REGEXMATCH(UPPER(P384),""PBS""),""PBS"",IF(REGEXMATCH(UPPER(P384),""TRIS""),""Tris"",IF(REGEXMATCH(UPPER(P384),""HEPES""),""H"&amp;"EPES"",IF(REGEXMATCH(UPPER(P384),""HISTIDINE""),""Histidine"",IF(REGEXMATCH(UPPER(P384),""SUCCINATE""),""Succinate"",IF(REGEXMATCH(UPPER(P384),""GLYCINE""),""Glycine"",P384)))))))))"),"Citrate")</f>
        <v>Citrate</v>
      </c>
      <c r="R52" s="19">
        <v>4</v>
      </c>
      <c r="S52" s="19">
        <v>25</v>
      </c>
      <c r="T52" s="22">
        <v>6</v>
      </c>
      <c r="U52" s="22">
        <v>12</v>
      </c>
      <c r="W52" s="21" t="s">
        <v>181</v>
      </c>
      <c r="X52" s="20" t="s">
        <v>53</v>
      </c>
      <c r="Y52" s="21">
        <v>-2.1</v>
      </c>
      <c r="Z52" s="21">
        <v>79</v>
      </c>
    </row>
    <row r="53" spans="1:26" ht="18" customHeight="1">
      <c r="A53">
        <f t="shared" si="0"/>
        <v>50</v>
      </c>
      <c r="E53" s="20" t="s">
        <v>49</v>
      </c>
      <c r="F53" s="21">
        <v>50</v>
      </c>
      <c r="G53" s="20" t="s">
        <v>50</v>
      </c>
      <c r="H53" s="21">
        <v>10</v>
      </c>
      <c r="I53" s="22">
        <v>38.5</v>
      </c>
      <c r="J53" s="20" t="s">
        <v>46</v>
      </c>
      <c r="K53" s="21">
        <v>1.5</v>
      </c>
      <c r="L53" s="21">
        <v>10</v>
      </c>
      <c r="M53" s="21" t="s">
        <v>47</v>
      </c>
      <c r="O53" s="25">
        <v>6</v>
      </c>
      <c r="P53" s="20" t="s">
        <v>95</v>
      </c>
      <c r="Q53" s="18" t="str">
        <f ca="1">IFERROR(__xludf.DUMMYFUNCTION("IF(P385="""","""",IF(REGEXMATCH(UPPER(P385),""CITRATE""),""Citrate"",IF(REGEXMATCH(UPPER(P385),""ACETATE""),""Sodium Acetate"",IF(REGEXMATCH(UPPER(P385),""PBS""),""PBS"",IF(REGEXMATCH(UPPER(P385),""TRIS""),""Tris"",IF(REGEXMATCH(UPPER(P385),""HEPES""),""H"&amp;"EPES"",IF(REGEXMATCH(UPPER(P385),""HISTIDINE""),""Histidine"",IF(REGEXMATCH(UPPER(P385),""SUCCINATE""),""Succinate"",IF(REGEXMATCH(UPPER(P385),""GLYCINE""),""Glycine"",P385)))))))))"),"Citrate")</f>
        <v>Citrate</v>
      </c>
      <c r="R53" s="19">
        <v>4</v>
      </c>
      <c r="S53" s="19">
        <v>25</v>
      </c>
      <c r="T53" s="24">
        <v>6</v>
      </c>
      <c r="U53" s="24">
        <v>12</v>
      </c>
      <c r="W53" s="21" t="s">
        <v>182</v>
      </c>
      <c r="X53" s="20" t="s">
        <v>54</v>
      </c>
      <c r="Y53" s="21">
        <v>0.5</v>
      </c>
      <c r="Z53" s="21">
        <v>85</v>
      </c>
    </row>
    <row r="54" spans="1:26" ht="18" customHeight="1">
      <c r="A54">
        <f t="shared" si="0"/>
        <v>51</v>
      </c>
      <c r="E54" s="20" t="s">
        <v>48</v>
      </c>
      <c r="F54" s="21">
        <v>50</v>
      </c>
      <c r="G54" s="20" t="s">
        <v>50</v>
      </c>
      <c r="H54" s="21">
        <v>10</v>
      </c>
      <c r="I54" s="22">
        <v>38.5</v>
      </c>
      <c r="J54" s="20" t="s">
        <v>46</v>
      </c>
      <c r="K54" s="21">
        <v>1.5</v>
      </c>
      <c r="L54" s="21">
        <v>10</v>
      </c>
      <c r="M54" s="21" t="s">
        <v>47</v>
      </c>
      <c r="O54" s="25">
        <v>6</v>
      </c>
      <c r="P54" s="20" t="s">
        <v>95</v>
      </c>
      <c r="Q54" s="18" t="str">
        <f ca="1">IFERROR(__xludf.DUMMYFUNCTION("IF(P386="""","""",IF(REGEXMATCH(UPPER(P386),""CITRATE""),""Citrate"",IF(REGEXMATCH(UPPER(P386),""ACETATE""),""Sodium Acetate"",IF(REGEXMATCH(UPPER(P386),""PBS""),""PBS"",IF(REGEXMATCH(UPPER(P386),""TRIS""),""Tris"",IF(REGEXMATCH(UPPER(P386),""HEPES""),""H"&amp;"EPES"",IF(REGEXMATCH(UPPER(P386),""HISTIDINE""),""Histidine"",IF(REGEXMATCH(UPPER(P386),""SUCCINATE""),""Succinate"",IF(REGEXMATCH(UPPER(P386),""GLYCINE""),""Glycine"",P386)))))))))"),"Citrate")</f>
        <v>Citrate</v>
      </c>
      <c r="R54" s="19">
        <v>4</v>
      </c>
      <c r="S54" s="19">
        <v>25</v>
      </c>
      <c r="T54" s="22">
        <v>6</v>
      </c>
      <c r="U54" s="22">
        <v>12</v>
      </c>
      <c r="W54" s="21" t="s">
        <v>183</v>
      </c>
      <c r="X54" s="20" t="s">
        <v>174</v>
      </c>
      <c r="Y54" s="21">
        <v>0.2</v>
      </c>
      <c r="Z54" s="21">
        <v>76</v>
      </c>
    </row>
    <row r="55" spans="1:26" ht="18" customHeight="1">
      <c r="A55">
        <f t="shared" si="0"/>
        <v>52</v>
      </c>
      <c r="E55" s="20" t="s">
        <v>49</v>
      </c>
      <c r="F55" s="21">
        <v>50</v>
      </c>
      <c r="G55" s="20" t="s">
        <v>50</v>
      </c>
      <c r="H55" s="21">
        <v>10</v>
      </c>
      <c r="I55" s="22">
        <v>38.5</v>
      </c>
      <c r="J55" s="20" t="s">
        <v>46</v>
      </c>
      <c r="K55" s="21">
        <v>1.5</v>
      </c>
      <c r="L55" s="21">
        <v>10</v>
      </c>
      <c r="M55" s="21" t="s">
        <v>47</v>
      </c>
      <c r="O55" s="25">
        <v>6</v>
      </c>
      <c r="P55" s="20" t="s">
        <v>95</v>
      </c>
      <c r="Q55" s="18" t="str">
        <f ca="1">IFERROR(__xludf.DUMMYFUNCTION("IF(P387="""","""",IF(REGEXMATCH(UPPER(P387),""CITRATE""),""Citrate"",IF(REGEXMATCH(UPPER(P387),""ACETATE""),""Sodium Acetate"",IF(REGEXMATCH(UPPER(P387),""PBS""),""PBS"",IF(REGEXMATCH(UPPER(P387),""TRIS""),""Tris"",IF(REGEXMATCH(UPPER(P387),""HEPES""),""H"&amp;"EPES"",IF(REGEXMATCH(UPPER(P387),""HISTIDINE""),""Histidine"",IF(REGEXMATCH(UPPER(P387),""SUCCINATE""),""Succinate"",IF(REGEXMATCH(UPPER(P387),""GLYCINE""),""Glycine"",P387)))))))))"),"Citrate")</f>
        <v>Citrate</v>
      </c>
      <c r="R55" s="19">
        <v>4</v>
      </c>
      <c r="S55" s="19">
        <v>25</v>
      </c>
      <c r="T55" s="24">
        <v>6</v>
      </c>
      <c r="U55" s="24">
        <v>12</v>
      </c>
      <c r="W55" s="21" t="s">
        <v>184</v>
      </c>
      <c r="X55" s="20" t="s">
        <v>51</v>
      </c>
      <c r="Y55" s="21">
        <v>-1.4</v>
      </c>
      <c r="Z55" s="21">
        <v>83</v>
      </c>
    </row>
    <row r="56" spans="1:26" ht="18" customHeight="1">
      <c r="R56" s="26"/>
    </row>
    <row r="57" spans="1:26" ht="18" customHeight="1">
      <c r="R57" s="26"/>
    </row>
    <row r="58" spans="1:26" ht="18" customHeight="1">
      <c r="R58" s="26"/>
    </row>
    <row r="59" spans="1:26" ht="18" customHeight="1">
      <c r="R59" s="26"/>
    </row>
    <row r="60" spans="1:26" ht="18" customHeight="1">
      <c r="R60" s="26"/>
    </row>
    <row r="61" spans="1:26" ht="18" customHeight="1">
      <c r="R61" s="26"/>
    </row>
    <row r="62" spans="1:26" ht="18" customHeight="1">
      <c r="R62" s="26"/>
    </row>
    <row r="63" spans="1:26" ht="18" customHeight="1">
      <c r="R63" s="26"/>
    </row>
    <row r="64" spans="1:26" ht="18" customHeight="1">
      <c r="R64" s="26"/>
    </row>
    <row r="65" spans="18:18" ht="18" customHeight="1">
      <c r="R65" s="26"/>
    </row>
    <row r="66" spans="18:18" ht="18" customHeight="1">
      <c r="R66" s="26"/>
    </row>
    <row r="67" spans="18:18" ht="18" customHeight="1">
      <c r="R67" s="26"/>
    </row>
    <row r="68" spans="18:18" ht="18" customHeight="1">
      <c r="R68" s="26"/>
    </row>
    <row r="69" spans="18:18" ht="15.75" customHeight="1">
      <c r="R69" s="26"/>
    </row>
    <row r="70" spans="18:18" ht="15.75" customHeight="1">
      <c r="R70" s="26"/>
    </row>
    <row r="71" spans="18:18" ht="15.75" customHeight="1">
      <c r="R71" s="26"/>
    </row>
    <row r="72" spans="18:18" ht="15.75" customHeight="1">
      <c r="R72" s="26"/>
    </row>
    <row r="73" spans="18:18" ht="15.75" customHeight="1">
      <c r="R73" s="26"/>
    </row>
    <row r="74" spans="18:18" ht="15.75" customHeight="1">
      <c r="R74" s="26"/>
    </row>
    <row r="75" spans="18:18" ht="15.75" customHeight="1">
      <c r="R75" s="26"/>
    </row>
    <row r="76" spans="18:18" ht="15.75" customHeight="1">
      <c r="R76" s="26"/>
    </row>
    <row r="77" spans="18:18" ht="15.75" customHeight="1">
      <c r="R77" s="26"/>
    </row>
    <row r="78" spans="18:18" ht="15.75" customHeight="1">
      <c r="R78" s="26"/>
    </row>
    <row r="79" spans="18:18" ht="15.75" customHeight="1">
      <c r="R79" s="26"/>
    </row>
    <row r="80" spans="18:18" ht="15.75" customHeight="1">
      <c r="R80" s="26"/>
    </row>
    <row r="81" spans="18:18" ht="15.75" customHeight="1">
      <c r="R81" s="26"/>
    </row>
    <row r="82" spans="18:18" ht="15.75" customHeight="1">
      <c r="R82" s="26"/>
    </row>
    <row r="83" spans="18:18" ht="15.75" customHeight="1">
      <c r="R83" s="26"/>
    </row>
    <row r="84" spans="18:18" ht="15.75" customHeight="1">
      <c r="R84" s="26"/>
    </row>
    <row r="85" spans="18:18" ht="15.75" customHeight="1">
      <c r="R85" s="26"/>
    </row>
    <row r="86" spans="18:18" ht="15.75" customHeight="1">
      <c r="R86" s="26"/>
    </row>
    <row r="87" spans="18:18" ht="15.75" customHeight="1">
      <c r="R87" s="26"/>
    </row>
    <row r="88" spans="18:18" ht="15.75" customHeight="1">
      <c r="R88" s="26"/>
    </row>
    <row r="89" spans="18:18" ht="15.75" customHeight="1">
      <c r="R89" s="26"/>
    </row>
    <row r="90" spans="18:18" ht="15.75" customHeight="1">
      <c r="R90" s="26"/>
    </row>
    <row r="91" spans="18:18" ht="15.75" customHeight="1">
      <c r="R91" s="26"/>
    </row>
    <row r="92" spans="18:18" ht="15.75" customHeight="1">
      <c r="R92" s="26"/>
    </row>
    <row r="93" spans="18:18" ht="15.75" customHeight="1">
      <c r="R93" s="26"/>
    </row>
    <row r="94" spans="18:18" ht="15.75" customHeight="1">
      <c r="R94" s="26"/>
    </row>
    <row r="95" spans="18:18" ht="15.75" customHeight="1">
      <c r="R95" s="26"/>
    </row>
    <row r="96" spans="18:18" ht="15.75" customHeight="1">
      <c r="R96" s="26"/>
    </row>
    <row r="97" spans="18:18" ht="15.75" customHeight="1">
      <c r="R97" s="26"/>
    </row>
    <row r="98" spans="18:18" ht="15.75" customHeight="1">
      <c r="R98" s="26"/>
    </row>
    <row r="99" spans="18:18" ht="15.75" customHeight="1">
      <c r="R99" s="26"/>
    </row>
    <row r="100" spans="18:18" ht="15.75" customHeight="1">
      <c r="R100" s="26"/>
    </row>
    <row r="101" spans="18:18" ht="15.75" customHeight="1">
      <c r="R101" s="26"/>
    </row>
    <row r="102" spans="18:18" ht="15.75" customHeight="1">
      <c r="R102" s="26"/>
    </row>
    <row r="103" spans="18:18" ht="15.75" customHeight="1">
      <c r="R103" s="26"/>
    </row>
    <row r="104" spans="18:18" ht="15.75" customHeight="1">
      <c r="R104" s="26"/>
    </row>
    <row r="105" spans="18:18" ht="15.75" customHeight="1">
      <c r="R105" s="26"/>
    </row>
    <row r="106" spans="18:18" ht="15.75" customHeight="1">
      <c r="R106" s="26"/>
    </row>
    <row r="107" spans="18:18" ht="15.75" customHeight="1">
      <c r="R107" s="26"/>
    </row>
    <row r="108" spans="18:18" ht="15.75" customHeight="1">
      <c r="R108" s="26"/>
    </row>
    <row r="109" spans="18:18" ht="15.75" customHeight="1">
      <c r="R109" s="26"/>
    </row>
    <row r="110" spans="18:18" ht="15.75" customHeight="1">
      <c r="R110" s="26"/>
    </row>
    <row r="111" spans="18:18" ht="15.75" customHeight="1">
      <c r="R111" s="26"/>
    </row>
    <row r="112" spans="18:18" ht="15.75" customHeight="1">
      <c r="R112" s="26"/>
    </row>
    <row r="113" spans="18:18" ht="15.75" customHeight="1">
      <c r="R113" s="26"/>
    </row>
    <row r="114" spans="18:18" ht="15.75" customHeight="1">
      <c r="R114" s="26"/>
    </row>
    <row r="115" spans="18:18" ht="15.75" customHeight="1">
      <c r="R115" s="26"/>
    </row>
    <row r="116" spans="18:18" ht="15.75" customHeight="1">
      <c r="R116" s="26"/>
    </row>
    <row r="117" spans="18:18" ht="15.75" customHeight="1">
      <c r="R117" s="26"/>
    </row>
    <row r="118" spans="18:18" ht="15.75" customHeight="1">
      <c r="R118" s="26"/>
    </row>
    <row r="119" spans="18:18" ht="15.75" customHeight="1">
      <c r="R119" s="26"/>
    </row>
    <row r="120" spans="18:18" ht="15.75" customHeight="1">
      <c r="R120" s="26"/>
    </row>
    <row r="121" spans="18:18" ht="15.75" customHeight="1">
      <c r="R121" s="26"/>
    </row>
    <row r="122" spans="18:18" ht="15.75" customHeight="1">
      <c r="R122" s="26"/>
    </row>
    <row r="123" spans="18:18" ht="15.75" customHeight="1">
      <c r="R123" s="26"/>
    </row>
    <row r="124" spans="18:18" ht="15.75" customHeight="1">
      <c r="R124" s="26"/>
    </row>
    <row r="125" spans="18:18" ht="15.75" customHeight="1">
      <c r="R125" s="26"/>
    </row>
    <row r="126" spans="18:18" ht="15.75" customHeight="1">
      <c r="R126" s="26"/>
    </row>
    <row r="127" spans="18:18" ht="15.75" customHeight="1">
      <c r="R127" s="26"/>
    </row>
    <row r="128" spans="18:18" ht="15.75" customHeight="1">
      <c r="R128" s="26"/>
    </row>
    <row r="129" spans="18:18" ht="15.75" customHeight="1">
      <c r="R129" s="26"/>
    </row>
    <row r="130" spans="18:18" ht="15.75" customHeight="1">
      <c r="R130" s="26"/>
    </row>
    <row r="131" spans="18:18" ht="15.75" customHeight="1">
      <c r="R131" s="26"/>
    </row>
    <row r="132" spans="18:18" ht="15.75" customHeight="1">
      <c r="R132" s="26"/>
    </row>
    <row r="133" spans="18:18" ht="15.75" customHeight="1">
      <c r="R133" s="26"/>
    </row>
    <row r="134" spans="18:18" ht="15.75" customHeight="1">
      <c r="R134" s="26"/>
    </row>
    <row r="135" spans="18:18" ht="15.75" customHeight="1">
      <c r="R135" s="26"/>
    </row>
    <row r="136" spans="18:18" ht="15.75" customHeight="1">
      <c r="R136" s="26"/>
    </row>
    <row r="137" spans="18:18" ht="15.75" customHeight="1">
      <c r="R137" s="26"/>
    </row>
    <row r="138" spans="18:18" ht="15.75" customHeight="1">
      <c r="R138" s="26"/>
    </row>
    <row r="139" spans="18:18" ht="15.75" customHeight="1">
      <c r="R139" s="26"/>
    </row>
    <row r="140" spans="18:18" ht="15.75" customHeight="1">
      <c r="R140" s="26"/>
    </row>
    <row r="141" spans="18:18" ht="15.75" customHeight="1">
      <c r="R141" s="26"/>
    </row>
    <row r="142" spans="18:18" ht="15.75" customHeight="1">
      <c r="R142" s="26"/>
    </row>
    <row r="143" spans="18:18" ht="15.75" customHeight="1">
      <c r="R143" s="26"/>
    </row>
    <row r="144" spans="18:18" ht="15.75" customHeight="1">
      <c r="R144" s="26"/>
    </row>
    <row r="145" spans="18:18" ht="15.75" customHeight="1">
      <c r="R145" s="26"/>
    </row>
    <row r="146" spans="18:18" ht="15.75" customHeight="1">
      <c r="R146" s="26"/>
    </row>
    <row r="147" spans="18:18" ht="15.75" customHeight="1">
      <c r="R147" s="26"/>
    </row>
    <row r="148" spans="18:18" ht="15.75" customHeight="1">
      <c r="R148" s="26"/>
    </row>
    <row r="149" spans="18:18" ht="15.75" customHeight="1">
      <c r="R149" s="26"/>
    </row>
    <row r="150" spans="18:18" ht="15.75" customHeight="1">
      <c r="R150" s="26"/>
    </row>
    <row r="151" spans="18:18" ht="15.75" customHeight="1">
      <c r="R151" s="26"/>
    </row>
    <row r="152" spans="18:18" ht="15.75" customHeight="1">
      <c r="R152" s="26"/>
    </row>
    <row r="153" spans="18:18" ht="15.75" customHeight="1">
      <c r="R153" s="26"/>
    </row>
    <row r="154" spans="18:18" ht="15.75" customHeight="1">
      <c r="R154" s="26"/>
    </row>
    <row r="155" spans="18:18" ht="15.75" customHeight="1">
      <c r="R155" s="26"/>
    </row>
    <row r="156" spans="18:18" ht="15.75" customHeight="1">
      <c r="R156" s="26"/>
    </row>
    <row r="157" spans="18:18" ht="15.75" customHeight="1">
      <c r="R157" s="26"/>
    </row>
    <row r="158" spans="18:18" ht="15.75" customHeight="1">
      <c r="R158" s="26"/>
    </row>
    <row r="159" spans="18:18" ht="15.75" customHeight="1">
      <c r="R159" s="26"/>
    </row>
    <row r="160" spans="18:18" ht="15.75" customHeight="1">
      <c r="R160" s="26"/>
    </row>
    <row r="161" spans="18:18" ht="15.75" customHeight="1">
      <c r="R161" s="26"/>
    </row>
    <row r="162" spans="18:18" ht="15.75" customHeight="1">
      <c r="R162" s="26"/>
    </row>
    <row r="163" spans="18:18" ht="15.75" customHeight="1">
      <c r="R163" s="26"/>
    </row>
    <row r="164" spans="18:18" ht="15.75" customHeight="1">
      <c r="R164" s="26"/>
    </row>
    <row r="165" spans="18:18" ht="15.75" customHeight="1">
      <c r="R165" s="26"/>
    </row>
    <row r="166" spans="18:18" ht="15.75" customHeight="1">
      <c r="R166" s="26"/>
    </row>
    <row r="167" spans="18:18" ht="15.75" customHeight="1">
      <c r="R167" s="26"/>
    </row>
    <row r="168" spans="18:18" ht="15.75" customHeight="1">
      <c r="R168" s="26"/>
    </row>
    <row r="169" spans="18:18" ht="15.75" customHeight="1">
      <c r="R169" s="26"/>
    </row>
    <row r="170" spans="18:18" ht="15.75" customHeight="1">
      <c r="R170" s="26"/>
    </row>
    <row r="171" spans="18:18" ht="15.75" customHeight="1">
      <c r="R171" s="26"/>
    </row>
    <row r="172" spans="18:18" ht="15.75" customHeight="1">
      <c r="R172" s="26"/>
    </row>
    <row r="173" spans="18:18" ht="15.75" customHeight="1">
      <c r="R173" s="26"/>
    </row>
    <row r="174" spans="18:18" ht="15.75" customHeight="1">
      <c r="R174" s="26"/>
    </row>
    <row r="175" spans="18:18" ht="15.75" customHeight="1">
      <c r="R175" s="26"/>
    </row>
    <row r="176" spans="18:18" ht="15.75" customHeight="1">
      <c r="R176" s="26"/>
    </row>
    <row r="177" spans="18:18" ht="15.75" customHeight="1">
      <c r="R177" s="26"/>
    </row>
    <row r="178" spans="18:18" ht="15.75" customHeight="1">
      <c r="R178" s="26"/>
    </row>
    <row r="179" spans="18:18" ht="15.75" customHeight="1">
      <c r="R179" s="26"/>
    </row>
    <row r="180" spans="18:18" ht="15.75" customHeight="1">
      <c r="R180" s="26"/>
    </row>
    <row r="181" spans="18:18" ht="15.75" customHeight="1">
      <c r="R181" s="26"/>
    </row>
    <row r="182" spans="18:18" ht="15.75" customHeight="1">
      <c r="R182" s="26"/>
    </row>
    <row r="183" spans="18:18" ht="15.75" customHeight="1">
      <c r="R183" s="26"/>
    </row>
    <row r="184" spans="18:18" ht="15.75" customHeight="1">
      <c r="R184" s="26"/>
    </row>
    <row r="185" spans="18:18" ht="15.75" customHeight="1">
      <c r="R185" s="26"/>
    </row>
    <row r="186" spans="18:18" ht="15.75" customHeight="1">
      <c r="R186" s="26"/>
    </row>
    <row r="187" spans="18:18" ht="15.75" customHeight="1">
      <c r="R187" s="26"/>
    </row>
    <row r="188" spans="18:18" ht="15.75" customHeight="1">
      <c r="R188" s="26"/>
    </row>
    <row r="189" spans="18:18" ht="15.75" customHeight="1">
      <c r="R189" s="26"/>
    </row>
    <row r="190" spans="18:18" ht="15.75" customHeight="1">
      <c r="R190" s="26"/>
    </row>
    <row r="191" spans="18:18" ht="15.75" customHeight="1">
      <c r="R191" s="26"/>
    </row>
    <row r="192" spans="18:18" ht="15.75" customHeight="1">
      <c r="R192" s="26"/>
    </row>
    <row r="193" spans="18:18" ht="15.75" customHeight="1">
      <c r="R193" s="26"/>
    </row>
    <row r="194" spans="18:18" ht="15.75" customHeight="1">
      <c r="R194" s="26"/>
    </row>
    <row r="195" spans="18:18" ht="15.75" customHeight="1">
      <c r="R195" s="26"/>
    </row>
    <row r="196" spans="18:18" ht="15.75" customHeight="1">
      <c r="R196" s="26"/>
    </row>
    <row r="197" spans="18:18" ht="15.75" customHeight="1">
      <c r="R197" s="26"/>
    </row>
    <row r="198" spans="18:18" ht="15.75" customHeight="1">
      <c r="R198" s="26"/>
    </row>
    <row r="199" spans="18:18" ht="15.75" customHeight="1">
      <c r="R199" s="26"/>
    </row>
    <row r="200" spans="18:18" ht="15.75" customHeight="1">
      <c r="R200" s="26"/>
    </row>
    <row r="201" spans="18:18" ht="15.75" customHeight="1">
      <c r="R201" s="26"/>
    </row>
    <row r="202" spans="18:18" ht="15.75" customHeight="1">
      <c r="R202" s="26"/>
    </row>
    <row r="203" spans="18:18" ht="15.75" customHeight="1">
      <c r="R203" s="26"/>
    </row>
    <row r="204" spans="18:18" ht="15.75" customHeight="1">
      <c r="R204" s="26"/>
    </row>
    <row r="205" spans="18:18" ht="15.75" customHeight="1">
      <c r="R205" s="26"/>
    </row>
    <row r="206" spans="18:18" ht="15.75" customHeight="1">
      <c r="R206" s="26"/>
    </row>
    <row r="207" spans="18:18" ht="15.75" customHeight="1">
      <c r="R207" s="26"/>
    </row>
    <row r="208" spans="18:18" ht="15.75" customHeight="1">
      <c r="R208" s="26"/>
    </row>
    <row r="209" spans="18:18" ht="15.75" customHeight="1">
      <c r="R209" s="26"/>
    </row>
    <row r="210" spans="18:18" ht="15.75" customHeight="1">
      <c r="R210" s="26"/>
    </row>
    <row r="211" spans="18:18" ht="15.75" customHeight="1">
      <c r="R211" s="26"/>
    </row>
    <row r="212" spans="18:18" ht="15.75" customHeight="1">
      <c r="R212" s="26"/>
    </row>
    <row r="213" spans="18:18" ht="15.75" customHeight="1">
      <c r="R213" s="26"/>
    </row>
    <row r="214" spans="18:18" ht="15.75" customHeight="1">
      <c r="R214" s="26"/>
    </row>
    <row r="215" spans="18:18" ht="15.75" customHeight="1">
      <c r="R215" s="26"/>
    </row>
    <row r="216" spans="18:18" ht="15.75" customHeight="1">
      <c r="R216" s="26"/>
    </row>
    <row r="217" spans="18:18" ht="15.75" customHeight="1">
      <c r="R217" s="26"/>
    </row>
    <row r="218" spans="18:18" ht="15.75" customHeight="1">
      <c r="R218" s="26"/>
    </row>
    <row r="219" spans="18:18" ht="15.75" customHeight="1">
      <c r="R219" s="26"/>
    </row>
    <row r="220" spans="18:18" ht="15.75" customHeight="1">
      <c r="R220" s="26"/>
    </row>
    <row r="221" spans="18:18" ht="15.75" customHeight="1">
      <c r="R221" s="26"/>
    </row>
    <row r="222" spans="18:18" ht="15.75" customHeight="1">
      <c r="R222" s="26"/>
    </row>
    <row r="223" spans="18:18" ht="15.75" customHeight="1">
      <c r="R223" s="26"/>
    </row>
    <row r="224" spans="18:18" ht="15.75" customHeight="1">
      <c r="R224" s="26"/>
    </row>
    <row r="225" spans="18:18" ht="15.75" customHeight="1">
      <c r="R225" s="26"/>
    </row>
    <row r="226" spans="18:18" ht="15.75" customHeight="1">
      <c r="R226" s="26"/>
    </row>
    <row r="227" spans="18:18" ht="15.75" customHeight="1">
      <c r="R227" s="26"/>
    </row>
    <row r="228" spans="18:18" ht="15.75" customHeight="1">
      <c r="R228" s="26"/>
    </row>
    <row r="229" spans="18:18" ht="15.75" customHeight="1">
      <c r="R229" s="26"/>
    </row>
    <row r="230" spans="18:18" ht="15.75" customHeight="1">
      <c r="R230" s="26"/>
    </row>
    <row r="231" spans="18:18" ht="15.75" customHeight="1">
      <c r="R231" s="26"/>
    </row>
    <row r="232" spans="18:18" ht="15.75" customHeight="1">
      <c r="R232" s="26"/>
    </row>
    <row r="233" spans="18:18" ht="15.75" customHeight="1">
      <c r="R233" s="26"/>
    </row>
    <row r="234" spans="18:18" ht="15.75" customHeight="1">
      <c r="R234" s="26"/>
    </row>
    <row r="235" spans="18:18" ht="15.75" customHeight="1">
      <c r="R235" s="26"/>
    </row>
    <row r="236" spans="18:18" ht="15.75" customHeight="1">
      <c r="R236" s="26"/>
    </row>
    <row r="237" spans="18:18" ht="15.75" customHeight="1">
      <c r="R237" s="26"/>
    </row>
    <row r="238" spans="18:18" ht="15.75" customHeight="1">
      <c r="R238" s="26"/>
    </row>
    <row r="239" spans="18:18" ht="15.75" customHeight="1">
      <c r="R239" s="26"/>
    </row>
    <row r="240" spans="18:18" ht="15.75" customHeight="1">
      <c r="R240" s="26"/>
    </row>
    <row r="241" spans="18:18" ht="15.75" customHeight="1">
      <c r="R241" s="26"/>
    </row>
    <row r="242" spans="18:18" ht="15.75" customHeight="1">
      <c r="R242" s="26"/>
    </row>
    <row r="243" spans="18:18" ht="15.75" customHeight="1">
      <c r="R243" s="26"/>
    </row>
    <row r="244" spans="18:18" ht="15.75" customHeight="1">
      <c r="R244" s="26"/>
    </row>
    <row r="245" spans="18:18" ht="15.75" customHeight="1">
      <c r="R245" s="26"/>
    </row>
    <row r="246" spans="18:18" ht="15.75" customHeight="1">
      <c r="R246" s="26"/>
    </row>
    <row r="247" spans="18:18" ht="15.75" customHeight="1">
      <c r="R247" s="26"/>
    </row>
    <row r="248" spans="18:18" ht="15.75" customHeight="1">
      <c r="R248" s="26"/>
    </row>
    <row r="249" spans="18:18" ht="15.75" customHeight="1">
      <c r="R249" s="26"/>
    </row>
    <row r="250" spans="18:18" ht="15.75" customHeight="1">
      <c r="R250" s="26"/>
    </row>
    <row r="251" spans="18:18" ht="15.75" customHeight="1">
      <c r="R251" s="26"/>
    </row>
    <row r="252" spans="18:18" ht="15.75" customHeight="1">
      <c r="R252" s="26"/>
    </row>
    <row r="253" spans="18:18" ht="15.75" customHeight="1">
      <c r="R253" s="26"/>
    </row>
    <row r="254" spans="18:18" ht="15.75" customHeight="1">
      <c r="R254" s="26"/>
    </row>
    <row r="255" spans="18:18" ht="15.75" customHeight="1">
      <c r="R255" s="26"/>
    </row>
    <row r="256" spans="18:18" ht="15.75" customHeight="1">
      <c r="R256" s="26"/>
    </row>
    <row r="257" spans="18:18" ht="15.75" customHeight="1">
      <c r="R257" s="26"/>
    </row>
    <row r="258" spans="18:18" ht="15.75" customHeight="1">
      <c r="R258" s="26"/>
    </row>
    <row r="259" spans="18:18" ht="15.75" customHeight="1">
      <c r="R259" s="26"/>
    </row>
    <row r="260" spans="18:18" ht="15.75" customHeight="1">
      <c r="R260" s="26"/>
    </row>
    <row r="261" spans="18:18" ht="15.75" customHeight="1">
      <c r="R261" s="26"/>
    </row>
    <row r="262" spans="18:18" ht="15.75" customHeight="1">
      <c r="R262" s="26"/>
    </row>
    <row r="263" spans="18:18" ht="15.75" customHeight="1">
      <c r="R263" s="26"/>
    </row>
    <row r="264" spans="18:18" ht="15.75" customHeight="1">
      <c r="R264" s="26"/>
    </row>
    <row r="265" spans="18:18" ht="15.75" customHeight="1">
      <c r="R265" s="26"/>
    </row>
    <row r="266" spans="18:18" ht="15.75" customHeight="1">
      <c r="R266" s="26"/>
    </row>
    <row r="267" spans="18:18" ht="15.75" customHeight="1">
      <c r="R267" s="26"/>
    </row>
    <row r="268" spans="18:18" ht="15.75" customHeight="1">
      <c r="R268" s="26"/>
    </row>
    <row r="269" spans="18:18" ht="15.75" customHeight="1">
      <c r="R269" s="26"/>
    </row>
    <row r="270" spans="18:18" ht="15.75" customHeight="1">
      <c r="R270" s="26"/>
    </row>
    <row r="271" spans="18:18" ht="15.75" customHeight="1">
      <c r="R271" s="26"/>
    </row>
    <row r="272" spans="18:18" ht="15.75" customHeight="1">
      <c r="R272" s="26"/>
    </row>
    <row r="273" spans="18:32" ht="15.75" customHeight="1">
      <c r="R273" s="26"/>
    </row>
    <row r="274" spans="18:32" ht="15.75" customHeight="1">
      <c r="R274" s="26"/>
    </row>
    <row r="275" spans="18:32" ht="15.75" customHeight="1">
      <c r="R275" s="26"/>
    </row>
    <row r="276" spans="18:32" ht="15.75" customHeight="1">
      <c r="R276" s="26"/>
    </row>
    <row r="277" spans="18:32" ht="15.75" customHeight="1">
      <c r="R277" s="26"/>
      <c r="AD277" s="23"/>
      <c r="AE277" s="23"/>
      <c r="AF277" s="23"/>
    </row>
    <row r="278" spans="18:32" ht="15.75" customHeight="1">
      <c r="R278" s="26"/>
    </row>
    <row r="279" spans="18:32" ht="15.75" customHeight="1">
      <c r="R279" s="26"/>
    </row>
    <row r="280" spans="18:32" ht="15.75" customHeight="1">
      <c r="R280" s="26"/>
    </row>
    <row r="281" spans="18:32" ht="15.75" customHeight="1">
      <c r="R281" s="26"/>
    </row>
    <row r="282" spans="18:32" ht="15.75" customHeight="1">
      <c r="R282" s="26"/>
    </row>
    <row r="283" spans="18:32" ht="15.75" customHeight="1">
      <c r="R283" s="26"/>
    </row>
    <row r="284" spans="18:32" ht="15.75" customHeight="1">
      <c r="R284" s="26"/>
    </row>
    <row r="285" spans="18:32" ht="15.75" customHeight="1">
      <c r="R285" s="26"/>
    </row>
    <row r="286" spans="18:32" ht="15.75" customHeight="1">
      <c r="R286" s="26"/>
    </row>
    <row r="287" spans="18:32" ht="15.75" customHeight="1">
      <c r="R287" s="26"/>
    </row>
    <row r="288" spans="18:32" ht="15.75" customHeight="1">
      <c r="R288" s="26"/>
    </row>
    <row r="289" spans="18:18" ht="15.75" customHeight="1">
      <c r="R289" s="26"/>
    </row>
    <row r="290" spans="18:18" ht="15.75" customHeight="1">
      <c r="R290" s="26"/>
    </row>
    <row r="291" spans="18:18" ht="15.75" customHeight="1">
      <c r="R291" s="26"/>
    </row>
    <row r="292" spans="18:18" ht="15.75" customHeight="1">
      <c r="R292" s="26"/>
    </row>
    <row r="293" spans="18:18" ht="15.75" customHeight="1">
      <c r="R293" s="26"/>
    </row>
    <row r="294" spans="18:18" ht="15.75" customHeight="1">
      <c r="R294" s="26"/>
    </row>
    <row r="295" spans="18:18" ht="15.75" customHeight="1">
      <c r="R295" s="26"/>
    </row>
    <row r="296" spans="18:18" ht="15.75" customHeight="1">
      <c r="R296" s="26"/>
    </row>
    <row r="297" spans="18:18" ht="15.75" customHeight="1">
      <c r="R297" s="26"/>
    </row>
    <row r="298" spans="18:18" ht="15.75" customHeight="1">
      <c r="R298" s="26"/>
    </row>
    <row r="299" spans="18:18" ht="15.75" customHeight="1">
      <c r="R299" s="26"/>
    </row>
    <row r="300" spans="18:18" ht="15.75" customHeight="1">
      <c r="R300" s="26"/>
    </row>
    <row r="301" spans="18:18" ht="15.75" customHeight="1">
      <c r="R301" s="26"/>
    </row>
    <row r="302" spans="18:18" ht="15.75" customHeight="1">
      <c r="R302" s="26"/>
    </row>
    <row r="303" spans="18:18" ht="15.75" customHeight="1">
      <c r="R303" s="26"/>
    </row>
    <row r="304" spans="18:18" ht="15.75" customHeight="1">
      <c r="R304" s="26"/>
    </row>
    <row r="305" spans="18:18" ht="15.75" customHeight="1">
      <c r="R305" s="26"/>
    </row>
    <row r="306" spans="18:18" ht="15.75" customHeight="1">
      <c r="R306" s="26"/>
    </row>
    <row r="307" spans="18:18" ht="15.75" customHeight="1">
      <c r="R307" s="26"/>
    </row>
    <row r="308" spans="18:18" ht="15.75" customHeight="1">
      <c r="R308" s="26"/>
    </row>
    <row r="309" spans="18:18" ht="15.75" customHeight="1">
      <c r="R309" s="26"/>
    </row>
    <row r="310" spans="18:18" ht="15.75" customHeight="1">
      <c r="R310" s="26"/>
    </row>
    <row r="311" spans="18:18" ht="15.75" customHeight="1">
      <c r="R311" s="26"/>
    </row>
    <row r="312" spans="18:18" ht="15.75" customHeight="1">
      <c r="R312" s="26"/>
    </row>
    <row r="313" spans="18:18" ht="15.75" customHeight="1">
      <c r="R313" s="26"/>
    </row>
    <row r="314" spans="18:18" ht="15.75" customHeight="1">
      <c r="R314" s="26"/>
    </row>
    <row r="315" spans="18:18" ht="15.75" customHeight="1">
      <c r="R315" s="26"/>
    </row>
    <row r="316" spans="18:18" ht="15.75" customHeight="1">
      <c r="R316" s="26"/>
    </row>
    <row r="317" spans="18:18" ht="15.75" customHeight="1">
      <c r="R317" s="26"/>
    </row>
    <row r="318" spans="18:18" ht="15.75" customHeight="1">
      <c r="R318" s="26"/>
    </row>
    <row r="319" spans="18:18" ht="15.75" customHeight="1">
      <c r="R319" s="26"/>
    </row>
    <row r="320" spans="18:18" ht="15.75" customHeight="1">
      <c r="R320" s="26"/>
    </row>
    <row r="321" spans="18:18" ht="15.75" customHeight="1">
      <c r="R321" s="26"/>
    </row>
    <row r="322" spans="18:18" ht="15.75" customHeight="1">
      <c r="R322" s="26"/>
    </row>
    <row r="323" spans="18:18" ht="15.75" customHeight="1">
      <c r="R323" s="26"/>
    </row>
    <row r="324" spans="18:18" ht="15.75" customHeight="1">
      <c r="R324" s="26"/>
    </row>
    <row r="325" spans="18:18" ht="15.75" customHeight="1">
      <c r="R325" s="26"/>
    </row>
    <row r="326" spans="18:18" ht="15.75" customHeight="1">
      <c r="R326" s="26"/>
    </row>
    <row r="327" spans="18:18" ht="15.75" customHeight="1">
      <c r="R327" s="26"/>
    </row>
    <row r="328" spans="18:18" ht="15.75" customHeight="1">
      <c r="R328" s="26"/>
    </row>
    <row r="329" spans="18:18" ht="15.75" customHeight="1">
      <c r="R329" s="26"/>
    </row>
    <row r="330" spans="18:18" ht="15.75" customHeight="1">
      <c r="R330" s="26"/>
    </row>
    <row r="331" spans="18:18" ht="15.75" customHeight="1">
      <c r="R331" s="26"/>
    </row>
    <row r="332" spans="18:18" ht="15.75" customHeight="1">
      <c r="R332" s="26"/>
    </row>
    <row r="333" spans="18:18" ht="15.75" customHeight="1">
      <c r="R333" s="26"/>
    </row>
    <row r="334" spans="18:18" ht="15.75" customHeight="1">
      <c r="R334" s="26"/>
    </row>
    <row r="335" spans="18:18" ht="15.75" customHeight="1">
      <c r="R335" s="26"/>
    </row>
    <row r="336" spans="18:18" ht="15.75" customHeight="1">
      <c r="R336" s="26"/>
    </row>
    <row r="337" spans="18:18" ht="15.75" customHeight="1">
      <c r="R337" s="26"/>
    </row>
    <row r="338" spans="18:18" ht="15.75" customHeight="1">
      <c r="R338" s="26"/>
    </row>
    <row r="339" spans="18:18" ht="15.75" customHeight="1">
      <c r="R339" s="26"/>
    </row>
    <row r="340" spans="18:18" ht="15.75" customHeight="1">
      <c r="R340" s="26"/>
    </row>
    <row r="341" spans="18:18" ht="15.75" customHeight="1">
      <c r="R341" s="26"/>
    </row>
    <row r="342" spans="18:18" ht="15.75" customHeight="1">
      <c r="R342" s="26"/>
    </row>
    <row r="343" spans="18:18" ht="15.75" customHeight="1">
      <c r="R343" s="26"/>
    </row>
    <row r="344" spans="18:18" ht="15.75" customHeight="1">
      <c r="R344" s="26"/>
    </row>
    <row r="345" spans="18:18" ht="15.75" customHeight="1">
      <c r="R345" s="26"/>
    </row>
    <row r="346" spans="18:18" ht="15.75" customHeight="1">
      <c r="R346" s="26"/>
    </row>
    <row r="347" spans="18:18" ht="15.75" customHeight="1">
      <c r="R347" s="26"/>
    </row>
    <row r="348" spans="18:18" ht="15.75" customHeight="1">
      <c r="R348" s="26"/>
    </row>
    <row r="349" spans="18:18" ht="15.75" customHeight="1">
      <c r="R349" s="26"/>
    </row>
    <row r="350" spans="18:18" ht="15.75" customHeight="1">
      <c r="R350" s="26"/>
    </row>
    <row r="351" spans="18:18" ht="15.75" customHeight="1">
      <c r="R351" s="26"/>
    </row>
    <row r="352" spans="18:18" ht="15.75" customHeight="1">
      <c r="R352" s="26"/>
    </row>
    <row r="353" spans="18:18" ht="15.75" customHeight="1">
      <c r="R353" s="26"/>
    </row>
    <row r="354" spans="18:18" ht="15.75" customHeight="1">
      <c r="R354" s="26"/>
    </row>
    <row r="355" spans="18:18" ht="15.75" customHeight="1">
      <c r="R355" s="26"/>
    </row>
    <row r="356" spans="18:18" ht="15.75" customHeight="1">
      <c r="R356" s="26"/>
    </row>
    <row r="357" spans="18:18" ht="15.75" customHeight="1">
      <c r="R357" s="26"/>
    </row>
    <row r="358" spans="18:18" ht="15.75" customHeight="1">
      <c r="R358" s="26"/>
    </row>
    <row r="359" spans="18:18" ht="15.75" customHeight="1">
      <c r="R359" s="26"/>
    </row>
    <row r="360" spans="18:18" ht="15.75" customHeight="1">
      <c r="R360" s="26"/>
    </row>
    <row r="361" spans="18:18" ht="15.75" customHeight="1">
      <c r="R361" s="26"/>
    </row>
    <row r="362" spans="18:18" ht="15.75" customHeight="1">
      <c r="R362" s="26"/>
    </row>
    <row r="363" spans="18:18" ht="15.75" customHeight="1">
      <c r="R363" s="26"/>
    </row>
    <row r="364" spans="18:18" ht="15.75" customHeight="1">
      <c r="R364" s="26"/>
    </row>
    <row r="365" spans="18:18" ht="15.75" customHeight="1">
      <c r="R365" s="26"/>
    </row>
    <row r="366" spans="18:18" ht="15.75" customHeight="1">
      <c r="R366" s="26"/>
    </row>
    <row r="367" spans="18:18" ht="15.75" customHeight="1">
      <c r="R367" s="26"/>
    </row>
    <row r="368" spans="18:18" ht="15.75" customHeight="1">
      <c r="R368" s="26"/>
    </row>
    <row r="369" spans="18:18" ht="15.75" customHeight="1">
      <c r="R369" s="26"/>
    </row>
    <row r="370" spans="18:18" ht="15.75" customHeight="1">
      <c r="R370" s="26"/>
    </row>
    <row r="371" spans="18:18" ht="15.75" customHeight="1">
      <c r="R371" s="26"/>
    </row>
    <row r="372" spans="18:18" ht="15.75" customHeight="1">
      <c r="R372" s="26"/>
    </row>
    <row r="373" spans="18:18" ht="15.75" customHeight="1">
      <c r="R373" s="26"/>
    </row>
    <row r="374" spans="18:18" ht="15.75" customHeight="1">
      <c r="R374" s="26"/>
    </row>
    <row r="375" spans="18:18" ht="15.75" customHeight="1">
      <c r="R375" s="26"/>
    </row>
    <row r="376" spans="18:18" ht="15.75" customHeight="1">
      <c r="R376" s="26"/>
    </row>
    <row r="377" spans="18:18" ht="15.75" customHeight="1">
      <c r="R377" s="26"/>
    </row>
    <row r="378" spans="18:18" ht="15.75" customHeight="1">
      <c r="R378" s="26"/>
    </row>
    <row r="379" spans="18:18" ht="15.75" customHeight="1">
      <c r="R379" s="26"/>
    </row>
    <row r="380" spans="18:18" ht="15.75" customHeight="1">
      <c r="R380" s="26"/>
    </row>
    <row r="381" spans="18:18" ht="15.75" customHeight="1">
      <c r="R381" s="26"/>
    </row>
    <row r="382" spans="18:18" ht="15.75" customHeight="1">
      <c r="R382" s="26"/>
    </row>
    <row r="383" spans="18:18" ht="15.75" customHeight="1">
      <c r="R383" s="26"/>
    </row>
    <row r="384" spans="18:18" ht="15.75" customHeight="1">
      <c r="R384" s="26"/>
    </row>
    <row r="385" spans="18:18" ht="15.75" customHeight="1">
      <c r="R385" s="26"/>
    </row>
    <row r="386" spans="18:18" ht="15.75" customHeight="1">
      <c r="R386" s="26"/>
    </row>
    <row r="387" spans="18:18" ht="15.75" customHeight="1">
      <c r="R387" s="26"/>
    </row>
    <row r="388" spans="18:18" ht="15.75" customHeight="1">
      <c r="R388" s="26"/>
    </row>
    <row r="389" spans="18:18" ht="15.75" customHeight="1">
      <c r="R389" s="26"/>
    </row>
    <row r="390" spans="18:18" ht="15.75" customHeight="1">
      <c r="R390" s="26"/>
    </row>
    <row r="391" spans="18:18" ht="15.75" customHeight="1">
      <c r="R391" s="26"/>
    </row>
    <row r="392" spans="18:18" ht="15.75" customHeight="1">
      <c r="R392" s="26"/>
    </row>
    <row r="393" spans="18:18" ht="15.75" customHeight="1">
      <c r="R393" s="26"/>
    </row>
    <row r="394" spans="18:18" ht="15.75" customHeight="1">
      <c r="R394" s="26"/>
    </row>
    <row r="395" spans="18:18" ht="15.75" customHeight="1">
      <c r="R395" s="26"/>
    </row>
    <row r="396" spans="18:18" ht="15.75" customHeight="1">
      <c r="R396" s="26"/>
    </row>
    <row r="397" spans="18:18" ht="15.75" customHeight="1">
      <c r="R397" s="26"/>
    </row>
    <row r="398" spans="18:18" ht="15.75" customHeight="1">
      <c r="R398" s="26"/>
    </row>
    <row r="399" spans="18:18" ht="15.75" customHeight="1">
      <c r="R399" s="26"/>
    </row>
    <row r="400" spans="18:18" ht="15.75" customHeight="1">
      <c r="R400" s="26"/>
    </row>
    <row r="401" spans="18:18" ht="15.75" customHeight="1">
      <c r="R401" s="26"/>
    </row>
    <row r="402" spans="18:18" ht="15.75" customHeight="1">
      <c r="R402" s="26"/>
    </row>
    <row r="403" spans="18:18" ht="15.75" customHeight="1">
      <c r="R403" s="26"/>
    </row>
    <row r="404" spans="18:18" ht="15.75" customHeight="1">
      <c r="R404" s="26"/>
    </row>
    <row r="405" spans="18:18" ht="15.75" customHeight="1">
      <c r="R405" s="26"/>
    </row>
    <row r="406" spans="18:18" ht="15.75" customHeight="1">
      <c r="R406" s="26"/>
    </row>
    <row r="407" spans="18:18" ht="15.75" customHeight="1">
      <c r="R407" s="26"/>
    </row>
    <row r="408" spans="18:18" ht="15.75" customHeight="1">
      <c r="R408" s="26"/>
    </row>
    <row r="409" spans="18:18" ht="15.75" customHeight="1">
      <c r="R409" s="26"/>
    </row>
    <row r="410" spans="18:18" ht="15.75" customHeight="1">
      <c r="R410" s="26"/>
    </row>
    <row r="411" spans="18:18" ht="15.75" customHeight="1">
      <c r="R411" s="26"/>
    </row>
    <row r="412" spans="18:18" ht="15.75" customHeight="1">
      <c r="R412" s="26"/>
    </row>
    <row r="413" spans="18:18" ht="15.75" customHeight="1">
      <c r="R413" s="26"/>
    </row>
    <row r="414" spans="18:18" ht="15.75" customHeight="1">
      <c r="R414" s="26"/>
    </row>
    <row r="415" spans="18:18" ht="15.75" customHeight="1">
      <c r="R415" s="26"/>
    </row>
    <row r="416" spans="18:18" ht="15.75" customHeight="1">
      <c r="R416" s="26"/>
    </row>
    <row r="417" spans="18:18" ht="15.75" customHeight="1">
      <c r="R417" s="26"/>
    </row>
    <row r="418" spans="18:18" ht="15.75" customHeight="1">
      <c r="R418" s="26"/>
    </row>
    <row r="419" spans="18:18" ht="15.75" customHeight="1">
      <c r="R419" s="26"/>
    </row>
    <row r="420" spans="18:18" ht="15.75" customHeight="1">
      <c r="R420" s="26"/>
    </row>
    <row r="421" spans="18:18" ht="15.75" customHeight="1">
      <c r="R421" s="26"/>
    </row>
    <row r="422" spans="18:18" ht="15.75" customHeight="1">
      <c r="R422" s="26"/>
    </row>
    <row r="423" spans="18:18" ht="15.75" customHeight="1">
      <c r="R423" s="26"/>
    </row>
    <row r="424" spans="18:18" ht="15.75" customHeight="1">
      <c r="R424" s="26"/>
    </row>
    <row r="425" spans="18:18" ht="15.75" customHeight="1">
      <c r="R425" s="26"/>
    </row>
    <row r="426" spans="18:18" ht="15.75" customHeight="1">
      <c r="R426" s="26"/>
    </row>
    <row r="427" spans="18:18" ht="15.75" customHeight="1">
      <c r="R427" s="26"/>
    </row>
    <row r="428" spans="18:18" ht="15.75" customHeight="1">
      <c r="R428" s="26"/>
    </row>
    <row r="429" spans="18:18" ht="15.75" customHeight="1">
      <c r="R429" s="26"/>
    </row>
    <row r="430" spans="18:18" ht="15.75" customHeight="1">
      <c r="R430" s="26"/>
    </row>
    <row r="431" spans="18:18" ht="15.75" customHeight="1">
      <c r="R431" s="26"/>
    </row>
    <row r="432" spans="18:18" ht="15.75" customHeight="1">
      <c r="R432" s="26"/>
    </row>
    <row r="433" spans="18:18" ht="15.75" customHeight="1">
      <c r="R433" s="26"/>
    </row>
    <row r="434" spans="18:18" ht="15.75" customHeight="1">
      <c r="R434" s="26"/>
    </row>
    <row r="435" spans="18:18" ht="15.75" customHeight="1">
      <c r="R435" s="26"/>
    </row>
    <row r="436" spans="18:18" ht="15.75" customHeight="1">
      <c r="R436" s="26"/>
    </row>
    <row r="437" spans="18:18" ht="15.75" customHeight="1">
      <c r="R437" s="26"/>
    </row>
    <row r="438" spans="18:18" ht="15.75" customHeight="1">
      <c r="R438" s="26"/>
    </row>
    <row r="439" spans="18:18" ht="15.75" customHeight="1">
      <c r="R439" s="26"/>
    </row>
    <row r="440" spans="18:18" ht="15.75" customHeight="1">
      <c r="R440" s="26"/>
    </row>
    <row r="441" spans="18:18" ht="15.75" customHeight="1">
      <c r="R441" s="26"/>
    </row>
    <row r="442" spans="18:18" ht="15.75" customHeight="1">
      <c r="R442" s="26"/>
    </row>
    <row r="443" spans="18:18" ht="15.75" customHeight="1">
      <c r="R443" s="26"/>
    </row>
    <row r="444" spans="18:18" ht="15.75" customHeight="1">
      <c r="R444" s="26"/>
    </row>
    <row r="445" spans="18:18" ht="15.75" customHeight="1">
      <c r="R445" s="26"/>
    </row>
    <row r="446" spans="18:18" ht="15.75" customHeight="1">
      <c r="R446" s="26"/>
    </row>
    <row r="447" spans="18:18" ht="15.75" customHeight="1">
      <c r="R447" s="26"/>
    </row>
    <row r="448" spans="18:18" ht="15.75" customHeight="1">
      <c r="R448" s="26"/>
    </row>
    <row r="449" spans="18:18" ht="15.75" customHeight="1">
      <c r="R449" s="26"/>
    </row>
    <row r="450" spans="18:18" ht="15.75" customHeight="1">
      <c r="R450" s="26"/>
    </row>
    <row r="451" spans="18:18" ht="15.75" customHeight="1">
      <c r="R451" s="26"/>
    </row>
    <row r="452" spans="18:18" ht="15.75" customHeight="1">
      <c r="R452" s="26"/>
    </row>
    <row r="453" spans="18:18" ht="15.75" customHeight="1">
      <c r="R453" s="26"/>
    </row>
    <row r="454" spans="18:18" ht="15.75" customHeight="1">
      <c r="R454" s="26"/>
    </row>
    <row r="455" spans="18:18" ht="15.75" customHeight="1">
      <c r="R455" s="26"/>
    </row>
    <row r="456" spans="18:18" ht="15.75" customHeight="1">
      <c r="R456" s="26"/>
    </row>
    <row r="457" spans="18:18" ht="15.75" customHeight="1">
      <c r="R457" s="26"/>
    </row>
    <row r="458" spans="18:18" ht="15.75" customHeight="1">
      <c r="R458" s="26"/>
    </row>
    <row r="459" spans="18:18" ht="15.75" customHeight="1">
      <c r="R459" s="26"/>
    </row>
    <row r="460" spans="18:18" ht="15.75" customHeight="1">
      <c r="R460" s="26"/>
    </row>
    <row r="461" spans="18:18" ht="15.75" customHeight="1">
      <c r="R461" s="26"/>
    </row>
    <row r="462" spans="18:18" ht="15.75" customHeight="1">
      <c r="R462" s="26"/>
    </row>
    <row r="463" spans="18:18" ht="15.75" customHeight="1">
      <c r="R463" s="26"/>
    </row>
    <row r="464" spans="18:18" ht="15.75" customHeight="1">
      <c r="R464" s="26"/>
    </row>
    <row r="465" spans="18:18" ht="15.75" customHeight="1">
      <c r="R465" s="26"/>
    </row>
    <row r="466" spans="18:18" ht="15.75" customHeight="1">
      <c r="R466" s="26"/>
    </row>
    <row r="467" spans="18:18" ht="15.75" customHeight="1">
      <c r="R467" s="26"/>
    </row>
    <row r="468" spans="18:18" ht="15.75" customHeight="1">
      <c r="R468" s="26"/>
    </row>
    <row r="469" spans="18:18" ht="15.75" customHeight="1">
      <c r="R469" s="26"/>
    </row>
    <row r="470" spans="18:18" ht="15.75" customHeight="1">
      <c r="R470" s="26"/>
    </row>
    <row r="471" spans="18:18" ht="15.75" customHeight="1">
      <c r="R471" s="26"/>
    </row>
    <row r="472" spans="18:18" ht="15.75" customHeight="1">
      <c r="R472" s="26"/>
    </row>
    <row r="473" spans="18:18" ht="15.75" customHeight="1">
      <c r="R473" s="26"/>
    </row>
    <row r="474" spans="18:18" ht="15.75" customHeight="1">
      <c r="R474" s="26"/>
    </row>
    <row r="475" spans="18:18" ht="15.75" customHeight="1">
      <c r="R475" s="26"/>
    </row>
    <row r="476" spans="18:18" ht="15.75" customHeight="1">
      <c r="R476" s="26"/>
    </row>
    <row r="477" spans="18:18" ht="15.75" customHeight="1">
      <c r="R477" s="26"/>
    </row>
    <row r="478" spans="18:18" ht="15.75" customHeight="1">
      <c r="R478" s="26"/>
    </row>
    <row r="479" spans="18:18" ht="15.75" customHeight="1">
      <c r="R479" s="26"/>
    </row>
    <row r="480" spans="18:18" ht="15.75" customHeight="1">
      <c r="R480" s="26"/>
    </row>
    <row r="481" spans="18:18" ht="15.75" customHeight="1">
      <c r="R481" s="26"/>
    </row>
    <row r="482" spans="18:18" ht="15.75" customHeight="1">
      <c r="R482" s="26"/>
    </row>
    <row r="483" spans="18:18" ht="15.75" customHeight="1">
      <c r="R483" s="26"/>
    </row>
    <row r="484" spans="18:18" ht="15.75" customHeight="1">
      <c r="R484" s="26"/>
    </row>
    <row r="485" spans="18:18" ht="15.75" customHeight="1">
      <c r="R485" s="26"/>
    </row>
    <row r="486" spans="18:18" ht="15.75" customHeight="1">
      <c r="R486" s="26"/>
    </row>
    <row r="487" spans="18:18" ht="15.75" customHeight="1">
      <c r="R487" s="26"/>
    </row>
    <row r="488" spans="18:18" ht="15.75" customHeight="1">
      <c r="R488" s="26"/>
    </row>
    <row r="489" spans="18:18" ht="15.75" customHeight="1">
      <c r="R489" s="26"/>
    </row>
    <row r="490" spans="18:18" ht="15.75" customHeight="1">
      <c r="R490" s="26"/>
    </row>
    <row r="491" spans="18:18" ht="15.75" customHeight="1">
      <c r="R491" s="26"/>
    </row>
    <row r="492" spans="18:18" ht="15.75" customHeight="1">
      <c r="R492" s="26"/>
    </row>
    <row r="493" spans="18:18" ht="15.75" customHeight="1">
      <c r="R493" s="26"/>
    </row>
    <row r="494" spans="18:18" ht="15.75" customHeight="1">
      <c r="R494" s="26"/>
    </row>
    <row r="495" spans="18:18" ht="15.75" customHeight="1">
      <c r="R495" s="26"/>
    </row>
    <row r="496" spans="18:18" ht="15.75" customHeight="1">
      <c r="R496" s="26"/>
    </row>
    <row r="497" spans="18:18" ht="15.75" customHeight="1">
      <c r="R497" s="26"/>
    </row>
    <row r="498" spans="18:18" ht="15.75" customHeight="1">
      <c r="R498" s="26"/>
    </row>
    <row r="499" spans="18:18" ht="15.75" customHeight="1">
      <c r="R499" s="26"/>
    </row>
    <row r="500" spans="18:18" ht="15.75" customHeight="1">
      <c r="R500" s="26"/>
    </row>
    <row r="501" spans="18:18" ht="15.75" customHeight="1">
      <c r="R501" s="26"/>
    </row>
    <row r="502" spans="18:18" ht="15.75" customHeight="1">
      <c r="R502" s="26"/>
    </row>
    <row r="503" spans="18:18" ht="15.75" customHeight="1">
      <c r="R503" s="26"/>
    </row>
    <row r="504" spans="18:18" ht="15.75" customHeight="1">
      <c r="R504" s="26"/>
    </row>
    <row r="505" spans="18:18" ht="15.75" customHeight="1">
      <c r="R505" s="26"/>
    </row>
    <row r="506" spans="18:18" ht="15.75" customHeight="1">
      <c r="R506" s="26"/>
    </row>
    <row r="507" spans="18:18" ht="15.75" customHeight="1">
      <c r="R507" s="26"/>
    </row>
    <row r="508" spans="18:18" ht="15.75" customHeight="1">
      <c r="R508" s="26"/>
    </row>
    <row r="509" spans="18:18" ht="15.75" customHeight="1">
      <c r="R509" s="26"/>
    </row>
    <row r="510" spans="18:18" ht="15.75" customHeight="1">
      <c r="R510" s="26"/>
    </row>
    <row r="511" spans="18:18" ht="15.75" customHeight="1">
      <c r="R511" s="26"/>
    </row>
    <row r="512" spans="18:18" ht="15.75" customHeight="1">
      <c r="R512" s="26"/>
    </row>
    <row r="513" spans="18:18" ht="15.75" customHeight="1">
      <c r="R513" s="26"/>
    </row>
    <row r="514" spans="18:18" ht="15.75" customHeight="1">
      <c r="R514" s="26"/>
    </row>
    <row r="515" spans="18:18" ht="15.75" customHeight="1">
      <c r="R515" s="26"/>
    </row>
    <row r="516" spans="18:18" ht="15.75" customHeight="1">
      <c r="R516" s="26"/>
    </row>
    <row r="517" spans="18:18" ht="15.75" customHeight="1">
      <c r="R517" s="26"/>
    </row>
    <row r="518" spans="18:18" ht="15.75" customHeight="1">
      <c r="R518" s="26"/>
    </row>
    <row r="519" spans="18:18" ht="15.75" customHeight="1">
      <c r="R519" s="26"/>
    </row>
    <row r="520" spans="18:18" ht="15.75" customHeight="1">
      <c r="R520" s="26"/>
    </row>
    <row r="521" spans="18:18" ht="15.75" customHeight="1">
      <c r="R521" s="26"/>
    </row>
    <row r="522" spans="18:18" ht="15.75" customHeight="1">
      <c r="R522" s="26"/>
    </row>
    <row r="523" spans="18:18" ht="15.75" customHeight="1">
      <c r="R523" s="26"/>
    </row>
    <row r="524" spans="18:18" ht="15.75" customHeight="1">
      <c r="R524" s="26"/>
    </row>
    <row r="525" spans="18:18" ht="15.75" customHeight="1">
      <c r="R525" s="26"/>
    </row>
    <row r="526" spans="18:18" ht="15.75" customHeight="1">
      <c r="R526" s="26"/>
    </row>
    <row r="527" spans="18:18" ht="15.75" customHeight="1">
      <c r="R527" s="26"/>
    </row>
    <row r="528" spans="18:18" ht="15.75" customHeight="1">
      <c r="R528" s="26"/>
    </row>
    <row r="529" spans="18:18" ht="15.75" customHeight="1">
      <c r="R529" s="26"/>
    </row>
    <row r="530" spans="18:18" ht="15.75" customHeight="1">
      <c r="R530" s="26"/>
    </row>
    <row r="531" spans="18:18" ht="15.75" customHeight="1">
      <c r="R531" s="26"/>
    </row>
    <row r="532" spans="18:18" ht="15.75" customHeight="1">
      <c r="R532" s="26"/>
    </row>
    <row r="533" spans="18:18" ht="15.75" customHeight="1">
      <c r="R533" s="26"/>
    </row>
    <row r="534" spans="18:18" ht="15.75" customHeight="1">
      <c r="R534" s="26"/>
    </row>
    <row r="535" spans="18:18" ht="15.75" customHeight="1">
      <c r="R535" s="26"/>
    </row>
    <row r="536" spans="18:18" ht="15.75" customHeight="1">
      <c r="R536" s="26"/>
    </row>
    <row r="537" spans="18:18" ht="15.75" customHeight="1">
      <c r="R537" s="26"/>
    </row>
    <row r="538" spans="18:18" ht="15.75" customHeight="1">
      <c r="R538" s="26"/>
    </row>
    <row r="539" spans="18:18" ht="15.75" customHeight="1">
      <c r="R539" s="26"/>
    </row>
    <row r="540" spans="18:18" ht="15.75" customHeight="1">
      <c r="R540" s="26"/>
    </row>
    <row r="541" spans="18:18" ht="15.75" customHeight="1">
      <c r="R541" s="26"/>
    </row>
    <row r="542" spans="18:18" ht="15.75" customHeight="1">
      <c r="R542" s="26"/>
    </row>
    <row r="543" spans="18:18" ht="15.75" customHeight="1">
      <c r="R543" s="26"/>
    </row>
    <row r="544" spans="18:18" ht="15.75" customHeight="1">
      <c r="R544" s="26"/>
    </row>
    <row r="545" spans="18:18" ht="15.75" customHeight="1">
      <c r="R545" s="26"/>
    </row>
    <row r="546" spans="18:18" ht="15.75" customHeight="1">
      <c r="R546" s="26"/>
    </row>
    <row r="547" spans="18:18" ht="15.75" customHeight="1">
      <c r="R547" s="26"/>
    </row>
    <row r="548" spans="18:18" ht="15.75" customHeight="1">
      <c r="R548" s="26"/>
    </row>
    <row r="549" spans="18:18" ht="15.75" customHeight="1">
      <c r="R549" s="26"/>
    </row>
    <row r="550" spans="18:18" ht="15.75" customHeight="1">
      <c r="R550" s="26"/>
    </row>
    <row r="551" spans="18:18" ht="15.75" customHeight="1">
      <c r="R551" s="26"/>
    </row>
    <row r="552" spans="18:18" ht="15.75" customHeight="1">
      <c r="R552" s="26"/>
    </row>
    <row r="553" spans="18:18" ht="15.75" customHeight="1">
      <c r="R553" s="26"/>
    </row>
    <row r="554" spans="18:18" ht="15.75" customHeight="1">
      <c r="R554" s="26"/>
    </row>
    <row r="555" spans="18:18" ht="15.75" customHeight="1">
      <c r="R555" s="26"/>
    </row>
    <row r="556" spans="18:18" ht="15.75" customHeight="1">
      <c r="R556" s="26"/>
    </row>
    <row r="557" spans="18:18" ht="15.75" customHeight="1">
      <c r="R557" s="26"/>
    </row>
    <row r="558" spans="18:18" ht="15.75" customHeight="1">
      <c r="R558" s="26"/>
    </row>
    <row r="559" spans="18:18" ht="15.75" customHeight="1">
      <c r="R559" s="26"/>
    </row>
    <row r="560" spans="18:18" ht="15.75" customHeight="1">
      <c r="R560" s="26"/>
    </row>
    <row r="561" spans="18:18" ht="15.75" customHeight="1">
      <c r="R561" s="26"/>
    </row>
    <row r="562" spans="18:18" ht="15.75" customHeight="1">
      <c r="R562" s="26"/>
    </row>
    <row r="563" spans="18:18" ht="15.75" customHeight="1">
      <c r="R563" s="26"/>
    </row>
    <row r="564" spans="18:18" ht="15.75" customHeight="1">
      <c r="R564" s="26"/>
    </row>
    <row r="565" spans="18:18" ht="15.75" customHeight="1">
      <c r="R565" s="26"/>
    </row>
    <row r="566" spans="18:18" ht="15.75" customHeight="1">
      <c r="R566" s="26"/>
    </row>
    <row r="567" spans="18:18" ht="15.75" customHeight="1">
      <c r="R567" s="26"/>
    </row>
    <row r="568" spans="18:18" ht="15.75" customHeight="1">
      <c r="R568" s="26"/>
    </row>
    <row r="569" spans="18:18" ht="15.75" customHeight="1">
      <c r="R569" s="26"/>
    </row>
    <row r="570" spans="18:18" ht="15.75" customHeight="1">
      <c r="R570" s="26"/>
    </row>
    <row r="571" spans="18:18" ht="15.75" customHeight="1">
      <c r="R571" s="26"/>
    </row>
    <row r="572" spans="18:18" ht="15.75" customHeight="1">
      <c r="R572" s="26"/>
    </row>
    <row r="573" spans="18:18" ht="15.75" customHeight="1">
      <c r="R573" s="26"/>
    </row>
    <row r="574" spans="18:18" ht="15.75" customHeight="1">
      <c r="R574" s="26"/>
    </row>
    <row r="575" spans="18:18" ht="15.75" customHeight="1">
      <c r="R575" s="26"/>
    </row>
    <row r="576" spans="18:18" ht="15.75" customHeight="1">
      <c r="R576" s="26"/>
    </row>
    <row r="577" spans="18:18" ht="15.75" customHeight="1">
      <c r="R577" s="26"/>
    </row>
    <row r="578" spans="18:18" ht="15.75" customHeight="1">
      <c r="R578" s="26"/>
    </row>
    <row r="579" spans="18:18" ht="15.75" customHeight="1">
      <c r="R579" s="26"/>
    </row>
    <row r="580" spans="18:18" ht="15.75" customHeight="1">
      <c r="R580" s="26"/>
    </row>
    <row r="581" spans="18:18" ht="15.75" customHeight="1">
      <c r="R581" s="26"/>
    </row>
    <row r="582" spans="18:18" ht="15.75" customHeight="1">
      <c r="R582" s="26"/>
    </row>
    <row r="583" spans="18:18" ht="15.75" customHeight="1">
      <c r="R583" s="26"/>
    </row>
    <row r="584" spans="18:18" ht="15.75" customHeight="1">
      <c r="R584" s="26"/>
    </row>
    <row r="585" spans="18:18" ht="15.75" customHeight="1">
      <c r="R585" s="26"/>
    </row>
    <row r="586" spans="18:18" ht="15.75" customHeight="1">
      <c r="R586" s="26"/>
    </row>
    <row r="587" spans="18:18" ht="15.75" customHeight="1">
      <c r="R587" s="26"/>
    </row>
    <row r="588" spans="18:18" ht="15.75" customHeight="1">
      <c r="R588" s="26"/>
    </row>
    <row r="589" spans="18:18" ht="15.75" customHeight="1">
      <c r="R589" s="26"/>
    </row>
    <row r="590" spans="18:18" ht="15.75" customHeight="1">
      <c r="R590" s="26"/>
    </row>
    <row r="591" spans="18:18" ht="15.75" customHeight="1">
      <c r="R591" s="26"/>
    </row>
    <row r="592" spans="18:18" ht="15.75" customHeight="1">
      <c r="R592" s="26"/>
    </row>
    <row r="593" spans="18:18" ht="15.75" customHeight="1">
      <c r="R593" s="26"/>
    </row>
    <row r="594" spans="18:18" ht="15.75" customHeight="1">
      <c r="R594" s="26"/>
    </row>
    <row r="595" spans="18:18" ht="15.75" customHeight="1">
      <c r="R595" s="26"/>
    </row>
    <row r="596" spans="18:18" ht="15.75" customHeight="1">
      <c r="R596" s="26"/>
    </row>
    <row r="597" spans="18:18" ht="15.75" customHeight="1">
      <c r="R597" s="26"/>
    </row>
    <row r="598" spans="18:18" ht="15.75" customHeight="1">
      <c r="R598" s="26"/>
    </row>
    <row r="599" spans="18:18" ht="15.75" customHeight="1">
      <c r="R599" s="26"/>
    </row>
    <row r="600" spans="18:18" ht="15.75" customHeight="1">
      <c r="R600" s="26"/>
    </row>
    <row r="601" spans="18:18" ht="15.75" customHeight="1">
      <c r="R601" s="26"/>
    </row>
    <row r="602" spans="18:18" ht="15.75" customHeight="1">
      <c r="R602" s="26"/>
    </row>
    <row r="603" spans="18:18" ht="15.75" customHeight="1">
      <c r="R603" s="26"/>
    </row>
    <row r="604" spans="18:18" ht="15.75" customHeight="1">
      <c r="R604" s="26"/>
    </row>
    <row r="605" spans="18:18" ht="15.75" customHeight="1">
      <c r="R605" s="26"/>
    </row>
    <row r="606" spans="18:18" ht="15.75" customHeight="1">
      <c r="R606" s="26"/>
    </row>
    <row r="607" spans="18:18" ht="15.75" customHeight="1">
      <c r="R607" s="26"/>
    </row>
    <row r="608" spans="18:18" ht="15.75" customHeight="1">
      <c r="R608" s="26"/>
    </row>
    <row r="609" spans="18:18" ht="15.75" customHeight="1">
      <c r="R609" s="26"/>
    </row>
    <row r="610" spans="18:18" ht="15.75" customHeight="1">
      <c r="R610" s="26"/>
    </row>
    <row r="611" spans="18:18" ht="15.75" customHeight="1">
      <c r="R611" s="26"/>
    </row>
    <row r="612" spans="18:18" ht="15.75" customHeight="1">
      <c r="R612" s="26"/>
    </row>
    <row r="613" spans="18:18" ht="15.75" customHeight="1">
      <c r="R613" s="26"/>
    </row>
    <row r="614" spans="18:18" ht="15.75" customHeight="1">
      <c r="R614" s="26"/>
    </row>
    <row r="615" spans="18:18" ht="15.75" customHeight="1">
      <c r="R615" s="26"/>
    </row>
    <row r="616" spans="18:18" ht="15.75" customHeight="1">
      <c r="R616" s="26"/>
    </row>
    <row r="617" spans="18:18" ht="15.75" customHeight="1">
      <c r="R617" s="26"/>
    </row>
    <row r="618" spans="18:18" ht="15.75" customHeight="1">
      <c r="R618" s="26"/>
    </row>
    <row r="619" spans="18:18" ht="15.75" customHeight="1">
      <c r="R619" s="26"/>
    </row>
    <row r="620" spans="18:18" ht="15.75" customHeight="1">
      <c r="R620" s="26"/>
    </row>
    <row r="621" spans="18:18" ht="15.75" customHeight="1">
      <c r="R621" s="26"/>
    </row>
    <row r="622" spans="18:18" ht="15.75" customHeight="1">
      <c r="R622" s="26"/>
    </row>
    <row r="623" spans="18:18" ht="15.75" customHeight="1">
      <c r="R623" s="26"/>
    </row>
    <row r="624" spans="18:18" ht="15.75" customHeight="1">
      <c r="R624" s="26"/>
    </row>
    <row r="625" spans="18:18" ht="15.75" customHeight="1">
      <c r="R625" s="26"/>
    </row>
    <row r="626" spans="18:18" ht="15.75" customHeight="1">
      <c r="R626" s="26"/>
    </row>
    <row r="627" spans="18:18" ht="15.75" customHeight="1">
      <c r="R627" s="26"/>
    </row>
    <row r="628" spans="18:18" ht="15.75" customHeight="1">
      <c r="R628" s="26"/>
    </row>
    <row r="629" spans="18:18" ht="15.75" customHeight="1">
      <c r="R629" s="26"/>
    </row>
    <row r="630" spans="18:18" ht="15.75" customHeight="1">
      <c r="R630" s="26"/>
    </row>
    <row r="631" spans="18:18" ht="15.75" customHeight="1">
      <c r="R631" s="26"/>
    </row>
    <row r="632" spans="18:18" ht="15.75" customHeight="1">
      <c r="R632" s="26"/>
    </row>
    <row r="633" spans="18:18" ht="15.75" customHeight="1">
      <c r="R633" s="26"/>
    </row>
    <row r="634" spans="18:18" ht="15.75" customHeight="1">
      <c r="R634" s="26"/>
    </row>
    <row r="635" spans="18:18" ht="15.75" customHeight="1">
      <c r="R635" s="26"/>
    </row>
    <row r="636" spans="18:18" ht="15.75" customHeight="1">
      <c r="R636" s="26"/>
    </row>
    <row r="637" spans="18:18" ht="15.75" customHeight="1">
      <c r="R637" s="26"/>
    </row>
    <row r="638" spans="18:18" ht="15.75" customHeight="1">
      <c r="R638" s="26"/>
    </row>
    <row r="639" spans="18:18" ht="15.75" customHeight="1">
      <c r="R639" s="26"/>
    </row>
    <row r="640" spans="18:18" ht="15.75" customHeight="1">
      <c r="R640" s="26"/>
    </row>
    <row r="641" spans="18:18" ht="15.75" customHeight="1">
      <c r="R641" s="26"/>
    </row>
    <row r="642" spans="18:18" ht="15.75" customHeight="1">
      <c r="R642" s="26"/>
    </row>
    <row r="643" spans="18:18" ht="15.75" customHeight="1">
      <c r="R643" s="26"/>
    </row>
    <row r="644" spans="18:18" ht="15.75" customHeight="1">
      <c r="R644" s="26"/>
    </row>
    <row r="645" spans="18:18" ht="15.75" customHeight="1">
      <c r="R645" s="26"/>
    </row>
    <row r="646" spans="18:18" ht="15.75" customHeight="1">
      <c r="R646" s="26"/>
    </row>
    <row r="647" spans="18:18" ht="15.75" customHeight="1">
      <c r="R647" s="26"/>
    </row>
    <row r="648" spans="18:18" ht="15.75" customHeight="1">
      <c r="R648" s="26"/>
    </row>
    <row r="649" spans="18:18" ht="15.75" customHeight="1">
      <c r="R649" s="26"/>
    </row>
    <row r="650" spans="18:18" ht="15.75" customHeight="1">
      <c r="R650" s="26"/>
    </row>
    <row r="651" spans="18:18" ht="15.75" customHeight="1">
      <c r="R651" s="26"/>
    </row>
    <row r="652" spans="18:18" ht="15.75" customHeight="1">
      <c r="R652" s="26"/>
    </row>
    <row r="653" spans="18:18" ht="15.75" customHeight="1">
      <c r="R653" s="26"/>
    </row>
    <row r="654" spans="18:18" ht="15.75" customHeight="1">
      <c r="R654" s="26"/>
    </row>
    <row r="655" spans="18:18" ht="15.75" customHeight="1">
      <c r="R655" s="26"/>
    </row>
    <row r="656" spans="18:18" ht="15.75" customHeight="1">
      <c r="R656" s="26"/>
    </row>
    <row r="657" spans="18:18" ht="15.75" customHeight="1">
      <c r="R657" s="26"/>
    </row>
    <row r="658" spans="18:18" ht="15.75" customHeight="1">
      <c r="R658" s="26"/>
    </row>
    <row r="659" spans="18:18" ht="15.75" customHeight="1">
      <c r="R659" s="26"/>
    </row>
    <row r="660" spans="18:18" ht="15.75" customHeight="1">
      <c r="R660" s="26"/>
    </row>
    <row r="661" spans="18:18" ht="15.75" customHeight="1">
      <c r="R661" s="26"/>
    </row>
    <row r="662" spans="18:18" ht="15.75" customHeight="1">
      <c r="R662" s="26"/>
    </row>
    <row r="663" spans="18:18" ht="15.75" customHeight="1">
      <c r="R663" s="26"/>
    </row>
    <row r="664" spans="18:18" ht="15.75" customHeight="1">
      <c r="R664" s="26"/>
    </row>
    <row r="665" spans="18:18" ht="15.75" customHeight="1">
      <c r="R665" s="26"/>
    </row>
    <row r="666" spans="18:18" ht="15.75" customHeight="1">
      <c r="R666" s="26"/>
    </row>
    <row r="667" spans="18:18" ht="15.75" customHeight="1">
      <c r="R667" s="26"/>
    </row>
    <row r="668" spans="18:18" ht="15.75" customHeight="1">
      <c r="R668" s="26"/>
    </row>
    <row r="669" spans="18:18" ht="15.75" customHeight="1">
      <c r="R669" s="26"/>
    </row>
    <row r="670" spans="18:18" ht="15.75" customHeight="1">
      <c r="R670" s="26"/>
    </row>
    <row r="671" spans="18:18" ht="15.75" customHeight="1">
      <c r="R671" s="26"/>
    </row>
    <row r="672" spans="18:18" ht="15.75" customHeight="1">
      <c r="R672" s="26"/>
    </row>
    <row r="673" spans="18:18" ht="15.75" customHeight="1">
      <c r="R673" s="26"/>
    </row>
    <row r="674" spans="18:18" ht="15.75" customHeight="1">
      <c r="R674" s="26"/>
    </row>
    <row r="675" spans="18:18" ht="15.75" customHeight="1"/>
    <row r="676" spans="18:18" ht="15.75" customHeight="1"/>
    <row r="677" spans="18:18" ht="15.75" customHeight="1"/>
    <row r="678" spans="18:18" ht="15.75" customHeight="1"/>
    <row r="679" spans="18:18" ht="15.75" customHeight="1"/>
    <row r="680" spans="18:18" ht="15.75" customHeight="1"/>
    <row r="681" spans="18:18" ht="15.75" customHeight="1"/>
    <row r="682" spans="18:18" ht="15.75" customHeight="1"/>
    <row r="683" spans="18:18" ht="15.75" customHeight="1"/>
    <row r="684" spans="18:18" ht="15.75" customHeight="1"/>
    <row r="685" spans="18:18" ht="15.75" customHeight="1"/>
    <row r="686" spans="18:18" ht="15.75" customHeight="1"/>
    <row r="687" spans="18:18" ht="15.75" customHeight="1"/>
    <row r="688" spans="18:1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5">
    <mergeCell ref="A1:D1"/>
    <mergeCell ref="E1:L1"/>
    <mergeCell ref="M1:O1"/>
    <mergeCell ref="P1:U1"/>
    <mergeCell ref="W1:Z1"/>
  </mergeCell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baseColWidth="10" defaultColWidth="14.44140625" defaultRowHeight="15" customHeight="1"/>
  <cols>
    <col min="1" max="1" width="22" customWidth="1"/>
    <col min="2" max="2" width="70" customWidth="1"/>
    <col min="3" max="26" width="9.109375" customWidth="1"/>
  </cols>
  <sheetData>
    <row r="1" spans="1:2" ht="24" customHeight="1">
      <c r="A1" s="39" t="s">
        <v>185</v>
      </c>
      <c r="B1" s="35"/>
    </row>
    <row r="2" spans="1:2" ht="21.75" customHeight="1">
      <c r="A2" s="27" t="s">
        <v>186</v>
      </c>
      <c r="B2" s="28" t="s">
        <v>187</v>
      </c>
    </row>
    <row r="3" spans="1:2" ht="30" customHeight="1">
      <c r="A3" s="29" t="s">
        <v>188</v>
      </c>
      <c r="B3" s="30" t="s">
        <v>189</v>
      </c>
    </row>
    <row r="4" spans="1:2" ht="21.75" customHeight="1">
      <c r="A4" s="27" t="s">
        <v>13</v>
      </c>
      <c r="B4" s="28" t="s">
        <v>190</v>
      </c>
    </row>
    <row r="5" spans="1:2" ht="21.75" customHeight="1">
      <c r="A5" s="29" t="s">
        <v>14</v>
      </c>
      <c r="B5" s="30" t="s">
        <v>191</v>
      </c>
    </row>
    <row r="6" spans="1:2" ht="21.75" customHeight="1">
      <c r="A6" s="27" t="s">
        <v>15</v>
      </c>
      <c r="B6" s="28" t="s">
        <v>192</v>
      </c>
    </row>
    <row r="7" spans="1:2" ht="21.75" customHeight="1">
      <c r="A7" s="29" t="s">
        <v>16</v>
      </c>
      <c r="B7" s="30" t="s">
        <v>193</v>
      </c>
    </row>
    <row r="8" spans="1:2" ht="21.75" customHeight="1">
      <c r="A8" s="27" t="s">
        <v>17</v>
      </c>
      <c r="B8" s="28" t="s">
        <v>194</v>
      </c>
    </row>
    <row r="9" spans="1:2" ht="21.75" customHeight="1">
      <c r="A9" s="29" t="s">
        <v>18</v>
      </c>
      <c r="B9" s="30" t="s">
        <v>195</v>
      </c>
    </row>
    <row r="10" spans="1:2" ht="30" customHeight="1">
      <c r="A10" s="27" t="s">
        <v>19</v>
      </c>
      <c r="B10" s="28" t="s">
        <v>196</v>
      </c>
    </row>
    <row r="11" spans="1:2" ht="21.75" customHeight="1">
      <c r="A11" s="29" t="s">
        <v>20</v>
      </c>
      <c r="B11" s="30" t="s">
        <v>197</v>
      </c>
    </row>
    <row r="12" spans="1:2" ht="21.75" customHeight="1">
      <c r="A12" s="27" t="s">
        <v>21</v>
      </c>
      <c r="B12" s="28" t="s">
        <v>198</v>
      </c>
    </row>
    <row r="13" spans="1:2" ht="30" customHeight="1">
      <c r="A13" s="29" t="s">
        <v>22</v>
      </c>
      <c r="B13" s="30" t="s">
        <v>199</v>
      </c>
    </row>
    <row r="14" spans="1:2" ht="21.75" customHeight="1">
      <c r="A14" s="27" t="s">
        <v>23</v>
      </c>
      <c r="B14" s="28" t="s">
        <v>200</v>
      </c>
    </row>
    <row r="15" spans="1:2" ht="21.75" customHeight="1">
      <c r="A15" s="29" t="s">
        <v>27</v>
      </c>
      <c r="B15" s="30" t="s">
        <v>201</v>
      </c>
    </row>
    <row r="16" spans="1:2" ht="21.75" customHeight="1">
      <c r="A16" s="27" t="s">
        <v>28</v>
      </c>
      <c r="B16" s="28" t="s">
        <v>202</v>
      </c>
    </row>
    <row r="17" spans="1:2" ht="21.75" customHeight="1">
      <c r="A17" s="31" t="s">
        <v>203</v>
      </c>
      <c r="B17" s="31"/>
    </row>
    <row r="18" spans="1:2" ht="30" customHeight="1">
      <c r="A18" s="27" t="s">
        <v>30</v>
      </c>
      <c r="B18" s="28" t="s">
        <v>204</v>
      </c>
    </row>
    <row r="19" spans="1:2" ht="21.75" customHeight="1">
      <c r="A19" s="29" t="s">
        <v>31</v>
      </c>
      <c r="B19" s="30" t="s">
        <v>205</v>
      </c>
    </row>
    <row r="20" spans="1:2" ht="21.75" customHeight="1">
      <c r="A20" s="27" t="s">
        <v>32</v>
      </c>
      <c r="B20" s="28" t="s">
        <v>206</v>
      </c>
    </row>
    <row r="21" spans="1:2" ht="21.75" customHeight="1">
      <c r="A21" s="29" t="s">
        <v>33</v>
      </c>
      <c r="B21" s="30" t="s">
        <v>207</v>
      </c>
    </row>
    <row r="22" spans="1:2" ht="21.75" customHeight="1">
      <c r="A22" s="27" t="s">
        <v>34</v>
      </c>
      <c r="B22" s="28" t="s">
        <v>208</v>
      </c>
    </row>
    <row r="23" spans="1:2" ht="21.75" customHeight="1">
      <c r="A23" s="32" t="s">
        <v>209</v>
      </c>
      <c r="B23" s="32"/>
    </row>
    <row r="24" spans="1:2" ht="21.75" customHeight="1">
      <c r="A24" s="27" t="s">
        <v>210</v>
      </c>
      <c r="B24" s="28" t="s">
        <v>211</v>
      </c>
    </row>
    <row r="25" spans="1:2" ht="21.75" customHeight="1">
      <c r="A25" s="29" t="s">
        <v>212</v>
      </c>
      <c r="B25" s="30" t="s">
        <v>213</v>
      </c>
    </row>
    <row r="26" spans="1:2" ht="30" customHeight="1">
      <c r="A26" s="27" t="s">
        <v>214</v>
      </c>
      <c r="B26" s="28" t="s">
        <v>215</v>
      </c>
    </row>
    <row r="27" spans="1:2" ht="21.75" customHeight="1">
      <c r="A27" s="29" t="s">
        <v>216</v>
      </c>
      <c r="B27" s="30" t="s">
        <v>217</v>
      </c>
    </row>
    <row r="28" spans="1:2" ht="21.75" customHeight="1">
      <c r="A28" s="27" t="s">
        <v>218</v>
      </c>
      <c r="B28" s="28" t="s">
        <v>219</v>
      </c>
    </row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DATASET</vt:lpstr>
      <vt:lpstr>LÉGENDE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Pierre Tardien</cp:lastModifiedBy>
  <dcterms:created xsi:type="dcterms:W3CDTF">2026-05-06T11:38:34Z</dcterms:created>
  <dcterms:modified xsi:type="dcterms:W3CDTF">2026-06-06T12:47:14Z</dcterms:modified>
</cp:coreProperties>
</file>