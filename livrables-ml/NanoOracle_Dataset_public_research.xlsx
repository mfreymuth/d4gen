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pierr\Downloads\"/>
    </mc:Choice>
  </mc:AlternateContent>
  <xr:revisionPtr revIDLastSave="0" documentId="13_ncr:1_{DD83B056-3340-4487-993E-BCFCC6A02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LÉGEN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/4PKY573VMjvjasurV7/q1Tbo7kjJJYJLmKZFSbt/Mg="/>
    </ext>
  </extLst>
</workbook>
</file>

<file path=xl/calcChain.xml><?xml version="1.0" encoding="utf-8"?>
<calcChain xmlns="http://schemas.openxmlformats.org/spreadsheetml/2006/main">
  <c r="Q227" i="1" l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22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ID#AAAB8sptWAk
Rita Araujo    (2026-06-02 14:06:37)
Using two syringe pumps, the miRNA-water phase solution and the lipid-ethanol phase solution were mixed in a 3:1 ratio at flow rates of 3 mL/h and 1 mL/h, respectively, through a Y-shaped microfluidic chip</t>
        </r>
      </text>
    </comment>
    <comment ref="Y12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ID#AAAB8sptWAo
Rita Araujo    (2026-06-02 14:12:34)
estimated from graph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k/ygeWXvj26YVg7KQp/zmGNNJA=="/>
    </ext>
  </extLst>
</comments>
</file>

<file path=xl/sharedStrings.xml><?xml version="1.0" encoding="utf-8"?>
<sst xmlns="http://schemas.openxmlformats.org/spreadsheetml/2006/main" count="3027" uniqueCount="853">
  <si>
    <t>METADATA</t>
  </si>
  <si>
    <t>INPUTS — Composition</t>
  </si>
  <si>
    <t>INPUTS — Cargo</t>
  </si>
  <si>
    <t>INPUTS — Microfluidics</t>
  </si>
  <si>
    <t>Technic</t>
  </si>
  <si>
    <t>OUTPUTS</t>
  </si>
  <si>
    <t>OPT.</t>
  </si>
  <si>
    <t>FLAGS</t>
  </si>
  <si>
    <t>ID</t>
  </si>
  <si>
    <t>Source</t>
  </si>
  <si>
    <t>DOI</t>
  </si>
  <si>
    <t>Year</t>
  </si>
  <si>
    <r>
      <rPr>
        <b/>
        <sz val="9"/>
        <color rgb="FF000000"/>
        <rFont val="Arial"/>
      </rPr>
      <t>Lipid (</t>
    </r>
    <r>
      <rPr>
        <b/>
        <u/>
        <sz val="9"/>
        <color rgb="FF000000"/>
        <rFont val="Arial"/>
      </rPr>
      <t>ionizable</t>
    </r>
    <r>
      <rPr>
        <b/>
        <sz val="9"/>
        <color rgb="FF000000"/>
        <rFont val="Arial"/>
      </rPr>
      <t>/cationic)</t>
    </r>
  </si>
  <si>
    <t>Ionizable mol%</t>
  </si>
  <si>
    <t>Helper Lipid</t>
  </si>
  <si>
    <t>Helper mol%</t>
  </si>
  <si>
    <t>Cholesterol mol%</t>
  </si>
  <si>
    <t>PEG-Lipid</t>
  </si>
  <si>
    <t>PEG-Lipid mol%</t>
  </si>
  <si>
    <t>Total Lipid Conc.</t>
  </si>
  <si>
    <t>Cargo Type</t>
  </si>
  <si>
    <t>Cargo Conc.</t>
  </si>
  <si>
    <t>N/P Ratio</t>
  </si>
  <si>
    <t>Aqueous Buffer</t>
  </si>
  <si>
    <t>Aqueous Solution</t>
  </si>
  <si>
    <t>pH Buffer</t>
  </si>
  <si>
    <t>mM Buffer</t>
  </si>
  <si>
    <t>FRR (aq:org)</t>
  </si>
  <si>
    <t>Total Flow Rate</t>
  </si>
  <si>
    <t>Technique_Enc</t>
  </si>
  <si>
    <t>Size (Z-avg)</t>
  </si>
  <si>
    <t>PDI</t>
  </si>
  <si>
    <t>Zeta Potential</t>
  </si>
  <si>
    <t>EE%</t>
  </si>
  <si>
    <t>pKa (apparent)</t>
  </si>
  <si>
    <t>Notes / Flags</t>
  </si>
  <si>
    <t>—</t>
  </si>
  <si>
    <t>YYYY</t>
  </si>
  <si>
    <t>categorical</t>
  </si>
  <si>
    <t>mol%</t>
  </si>
  <si>
    <t>mM</t>
  </si>
  <si>
    <t>µg/mL</t>
  </si>
  <si>
    <t>mL/min</t>
  </si>
  <si>
    <t>nm</t>
  </si>
  <si>
    <t>mV</t>
  </si>
  <si>
    <t>%</t>
  </si>
  <si>
    <t>Ly et al., 2022</t>
  </si>
  <si>
    <t>10.1021/acs.molpharmaceut.2c00032</t>
  </si>
  <si>
    <t>ALC-0315</t>
  </si>
  <si>
    <t>DOPE</t>
  </si>
  <si>
    <t>37.85</t>
  </si>
  <si>
    <t>DMG-PEG</t>
  </si>
  <si>
    <t>1.25</t>
  </si>
  <si>
    <t>siRNA</t>
  </si>
  <si>
    <t>Na-acetate 25mM pH 4.53</t>
  </si>
  <si>
    <t>4.53</t>
  </si>
  <si>
    <t>microfluidic</t>
  </si>
  <si>
    <t>87.72</t>
  </si>
  <si>
    <t>77.97</t>
  </si>
  <si>
    <t>BBD Optimal 1 (min IL-6). T-tube NanoAssemblr. Chol%=100-45-15.9-1.25=37.85.</t>
  </si>
  <si>
    <t>mRNA</t>
  </si>
  <si>
    <t>82.62</t>
  </si>
  <si>
    <t>76.73</t>
  </si>
  <si>
    <t>BBD Optimal 1 mRNA. T-tube NanoAssemblr.</t>
  </si>
  <si>
    <t>SM-102</t>
  </si>
  <si>
    <t>36.25</t>
  </si>
  <si>
    <t>Na-acetate 25mM pH 6.0</t>
  </si>
  <si>
    <t>6.0</t>
  </si>
  <si>
    <t>85.51</t>
  </si>
  <si>
    <t>87.91</t>
  </si>
  <si>
    <t>BBD Optimal 2 (max IL-6) saRNA. Chol%=100-45-17.5-1.25=36.25.</t>
  </si>
  <si>
    <t>85.56</t>
  </si>
  <si>
    <t>BBD Optimal 2 mRNA.</t>
  </si>
  <si>
    <t>46.25</t>
  </si>
  <si>
    <t>Na-acetate 25mM pH 5.25</t>
  </si>
  <si>
    <t>5.25</t>
  </si>
  <si>
    <t>81.45</t>
  </si>
  <si>
    <t>92.29</t>
  </si>
  <si>
    <t>BBD Optimal 3 (CQAs) saRNA. Chol%=100-35-17.5-1.25=46.25.</t>
  </si>
  <si>
    <t>81.7</t>
  </si>
  <si>
    <t>86.1</t>
  </si>
  <si>
    <t>BBD Optimal 3 mRNA.</t>
  </si>
  <si>
    <t>Connerty et al., 2021</t>
  </si>
  <si>
    <t>10.3390/pharmaceutics13101681</t>
  </si>
  <si>
    <t>MC3</t>
  </si>
  <si>
    <t>DSPC</t>
  </si>
  <si>
    <t>38.5</t>
  </si>
  <si>
    <t>Na-acetate 25mM pH 4.0</t>
  </si>
  <si>
    <t>4.0</t>
  </si>
  <si>
    <t>0.22</t>
  </si>
  <si>
    <t>NxGen NanoAssemblr Spark. 12:1 wt/wt lipid:siRNA. FRR: org 3 mL/min + aq 9 mL/min = TFR 12. Size ~65nm, PDI≤0.22, EE&gt;85%. Onpattro-based (LINC01257 siRNA).</t>
  </si>
  <si>
    <t>Maharjan et al., 2024</t>
  </si>
  <si>
    <t>10.1016/j.jpha.2024.100996</t>
  </si>
  <si>
    <t>DODAP</t>
  </si>
  <si>
    <t>1.58</t>
  </si>
  <si>
    <t>Citrate 100mM pH 4.5</t>
  </si>
  <si>
    <t>62.91</t>
  </si>
  <si>
    <t>0.19</t>
  </si>
  <si>
    <t>4.52</t>
  </si>
  <si>
    <t>93.53</t>
  </si>
  <si>
    <t>Bayesian optimized. Ionizable-to-chol=NR, phospholipid-to-PEG=NR. Predicted values from model (experimental ~94-96nm). NanoAssemblr TrM.</t>
  </si>
  <si>
    <t>DOTAP</t>
  </si>
  <si>
    <t>73.62</t>
  </si>
  <si>
    <t>0.35</t>
  </si>
  <si>
    <t>0.16</t>
  </si>
  <si>
    <t>96.44</t>
  </si>
  <si>
    <t>Design space condition from text. Mol% NR (only ratios given). NanoAssemblr TrM.</t>
  </si>
  <si>
    <t>Belliveau/Yu et al., 2012</t>
  </si>
  <si>
    <t>10.1016/j.biomaterials.2012.05.002</t>
  </si>
  <si>
    <t>TRENL3</t>
  </si>
  <si>
    <t>Egg PC</t>
  </si>
  <si>
    <t>Citrate 20mM pH 4.0</t>
  </si>
  <si>
    <t>0.13</t>
  </si>
  <si>
    <t>9.9</t>
  </si>
  <si>
    <t>99.4</t>
  </si>
  <si>
    <t>Standard TRENL3 Batch formulation.</t>
  </si>
  <si>
    <t>Linoleic Acid</t>
  </si>
  <si>
    <t>0.08</t>
  </si>
  <si>
    <t>90.8</t>
  </si>
  <si>
    <t>Replacing Egg PC with LA.</t>
  </si>
  <si>
    <t>Linolenic Acid</t>
  </si>
  <si>
    <t>0.14</t>
  </si>
  <si>
    <t>-0.98</t>
  </si>
  <si>
    <t>93.2</t>
  </si>
  <si>
    <t>Replacing Egg PC with LNA.</t>
  </si>
  <si>
    <t>InsideTx / Bio-Protocol</t>
  </si>
  <si>
    <t>10.21769/BioProtoc.5458</t>
  </si>
  <si>
    <t xml:space="preserve">mRNA </t>
  </si>
  <si>
    <t>Citrate pH 4.0</t>
  </si>
  <si>
    <t>102.8</t>
  </si>
  <si>
    <t>0.2</t>
  </si>
  <si>
    <t>Low-cost Y-junction glass chip. SM102 concentration 4.26 mg/L in 10x.</t>
  </si>
  <si>
    <t>Pareja Tello et al. 2025</t>
  </si>
  <si>
    <t>10.1039/d4bm01405g</t>
  </si>
  <si>
    <t>ALC-0159</t>
  </si>
  <si>
    <t>Citrate 100 mM pH 5.0</t>
  </si>
  <si>
    <t>5.0</t>
  </si>
  <si>
    <t>178.6</t>
  </si>
  <si>
    <t>0.245</t>
  </si>
  <si>
    <t>-19.5</t>
  </si>
  <si>
    <t>51.45</t>
  </si>
  <si>
    <t>Li et al., 2025</t>
  </si>
  <si>
    <t>Citrate</t>
  </si>
  <si>
    <t>Y-junction glass chip low-cost (~$4000 vs $35k NanoAssemblr). Formulation Moderna-based (Table1 confirmée). Stock 12mM, working 1.2mM (dilution 10×). FRR retenu aq:org=3:1 sur base débits effectifs (org 3mL/min + aq 9mL/min). Taille 102.8nm mRNA@LNP (Figure 2D). 3 expériences indépendantes.</t>
  </si>
  <si>
    <t>Laramy et al., 2024</t>
  </si>
  <si>
    <t>10.1021/acs.molpharmaceut.3c00390</t>
  </si>
  <si>
    <t>51.8</t>
  </si>
  <si>
    <t>ASO</t>
  </si>
  <si>
    <t>Citrate 10 mM Ph4.0</t>
  </si>
  <si>
    <t>0.23</t>
  </si>
  <si>
    <t>0.47</t>
  </si>
  <si>
    <t>0.39</t>
  </si>
  <si>
    <t>0.09</t>
  </si>
  <si>
    <t>0.11</t>
  </si>
  <si>
    <t>0.04</t>
  </si>
  <si>
    <t>0.1</t>
  </si>
  <si>
    <t>0.21</t>
  </si>
  <si>
    <t>Roces et al.,  2020</t>
  </si>
  <si>
    <t>10.3390/pharmaceutics12111095</t>
  </si>
  <si>
    <t>Poly-A</t>
  </si>
  <si>
    <t>Citrate 100 mM pH 6.0</t>
  </si>
  <si>
    <t>52.27</t>
  </si>
  <si>
    <t>98.04</t>
  </si>
  <si>
    <t>Zeta potentiel : approximation moyenne (tous situés entre 0 et +4 mV),</t>
  </si>
  <si>
    <t>53.25</t>
  </si>
  <si>
    <t>98.49</t>
  </si>
  <si>
    <t>DDAB</t>
  </si>
  <si>
    <t>76.9</t>
  </si>
  <si>
    <t>0.06</t>
  </si>
  <si>
    <t>95.24</t>
  </si>
  <si>
    <t>ssDNA</t>
  </si>
  <si>
    <t>64.88</t>
  </si>
  <si>
    <t>0.25</t>
  </si>
  <si>
    <t>98.48</t>
  </si>
  <si>
    <t>87.11</t>
  </si>
  <si>
    <t>0.24</t>
  </si>
  <si>
    <t>93.71</t>
  </si>
  <si>
    <t>89.83</t>
  </si>
  <si>
    <t>95.73</t>
  </si>
  <si>
    <t>53.47</t>
  </si>
  <si>
    <t>0.17</t>
  </si>
  <si>
    <t>99.97</t>
  </si>
  <si>
    <t>92.22</t>
  </si>
  <si>
    <t>97.45</t>
  </si>
  <si>
    <t>80.5</t>
  </si>
  <si>
    <t>0.07</t>
  </si>
  <si>
    <t>98.11</t>
  </si>
  <si>
    <t>Ferraresso et al., 2022</t>
  </si>
  <si>
    <r>
      <rPr>
        <u/>
        <sz val="9"/>
        <color rgb="FF000000"/>
        <rFont val="Arial"/>
      </rPr>
      <t>10.1021/acs.molpharmaceut.2c00033</t>
    </r>
  </si>
  <si>
    <t>DOPC</t>
  </si>
  <si>
    <t>Citrate 150 mM pH 4,5</t>
  </si>
  <si>
    <t>-5.55</t>
  </si>
  <si>
    <r>
      <rPr>
        <u/>
        <sz val="9"/>
        <color rgb="FF000000"/>
        <rFont val="Arial"/>
      </rPr>
      <t>10.1021/acs.molpharmaceut.2c00033</t>
    </r>
  </si>
  <si>
    <t>-5.57</t>
  </si>
  <si>
    <t>Kenjo et al,, 2021</t>
  </si>
  <si>
    <r>
      <rPr>
        <u/>
        <sz val="9"/>
        <color rgb="FF000000"/>
        <rFont val="Arial"/>
      </rPr>
      <t>10.1038/s41467-021-26714-w</t>
    </r>
  </si>
  <si>
    <t>TCL053</t>
  </si>
  <si>
    <t>DPPC</t>
  </si>
  <si>
    <t>0.7</t>
  </si>
  <si>
    <t>Citrate 50 mM pH 4</t>
  </si>
  <si>
    <t>88.6</t>
  </si>
  <si>
    <t>95.8</t>
  </si>
  <si>
    <t>Calcul du N/P ratio pas clair : peut être ne pas prendre en compte (poids)</t>
  </si>
  <si>
    <r>
      <rPr>
        <u/>
        <sz val="9"/>
        <color rgb="FF000000"/>
        <rFont val="Arial"/>
      </rPr>
      <t>10.1038/s41467-021-26714-w</t>
    </r>
  </si>
  <si>
    <t>73.1</t>
  </si>
  <si>
    <t>0.061</t>
  </si>
  <si>
    <t>98.5</t>
  </si>
  <si>
    <r>
      <rPr>
        <u/>
        <sz val="9"/>
        <color rgb="FF000000"/>
        <rFont val="Arial"/>
      </rPr>
      <t>10.1038/s41467-021-26714-w</t>
    </r>
  </si>
  <si>
    <t>95.1</t>
  </si>
  <si>
    <t>0.026</t>
  </si>
  <si>
    <t>97.9</t>
  </si>
  <si>
    <r>
      <rPr>
        <u/>
        <sz val="9"/>
        <color rgb="FF000000"/>
        <rFont val="Arial"/>
      </rPr>
      <t>10.1038/s41467-021-26714-w</t>
    </r>
  </si>
  <si>
    <t>78.9</t>
  </si>
  <si>
    <t>0.025</t>
  </si>
  <si>
    <t>96.1</t>
  </si>
  <si>
    <r>
      <rPr>
        <u/>
        <sz val="9"/>
        <color rgb="FF000000"/>
        <rFont val="Arial"/>
      </rPr>
      <t>10.1038/s41467-021-26714-w</t>
    </r>
  </si>
  <si>
    <t>TCL065</t>
  </si>
  <si>
    <t>73.7</t>
  </si>
  <si>
    <t>0.051</t>
  </si>
  <si>
    <t>96.7</t>
  </si>
  <si>
    <r>
      <rPr>
        <u/>
        <sz val="9"/>
        <color rgb="FF000000"/>
        <rFont val="Arial"/>
      </rPr>
      <t>10.1038/s41467-021-26714-w</t>
    </r>
  </si>
  <si>
    <t>71.8</t>
  </si>
  <si>
    <t>0.044</t>
  </si>
  <si>
    <t>97.5</t>
  </si>
  <si>
    <r>
      <rPr>
        <u/>
        <sz val="9"/>
        <color rgb="FF000000"/>
        <rFont val="Arial"/>
      </rPr>
      <t>10.1038/s41467-021-26714-w</t>
    </r>
  </si>
  <si>
    <t>0.101</t>
  </si>
  <si>
    <t>97.8</t>
  </si>
  <si>
    <r>
      <rPr>
        <u/>
        <sz val="9"/>
        <color rgb="FF000000"/>
        <rFont val="Arial"/>
      </rPr>
      <t>10.1038/s41467-021-26714-w</t>
    </r>
  </si>
  <si>
    <t>0.042</t>
  </si>
  <si>
    <t>97.2</t>
  </si>
  <si>
    <t>Li et al., 2022</t>
  </si>
  <si>
    <r>
      <rPr>
        <u/>
        <sz val="9"/>
        <color rgb="FF000000"/>
        <rFont val="Arial"/>
      </rPr>
      <t>10.1016/j.mtbio.2025.101695</t>
    </r>
  </si>
  <si>
    <t>miRNA</t>
  </si>
  <si>
    <t>Sodium Acetate 33,3 mM pH 4</t>
  </si>
  <si>
    <t>142.6</t>
  </si>
  <si>
    <t>Cui et al., 2022</t>
  </si>
  <si>
    <t>10.1039/d1nr06858j</t>
  </si>
  <si>
    <t>Citrate 50 mM pH 3</t>
  </si>
  <si>
    <t>157.4</t>
  </si>
  <si>
    <t>0.095</t>
  </si>
  <si>
    <t>1.67</t>
  </si>
  <si>
    <t>Terada et at., 2021</t>
  </si>
  <si>
    <r>
      <rPr>
        <u/>
        <sz val="12"/>
        <color rgb="FF000000"/>
        <rFont val="Calibri"/>
        <scheme val="minor"/>
      </rPr>
      <t>10.1021/acs.langmuir.0c03039</t>
    </r>
  </si>
  <si>
    <t>HSPC</t>
  </si>
  <si>
    <t>DSPE-PEG</t>
  </si>
  <si>
    <t>0.15</t>
  </si>
  <si>
    <t>No access to free full article</t>
  </si>
  <si>
    <t>Sato et al., 2020</t>
  </si>
  <si>
    <r>
      <rPr>
        <u/>
        <sz val="9"/>
        <color rgb="FF000000"/>
        <rFont val="Arial"/>
      </rPr>
      <t>10.1016/j.actbio.2019.11.022</t>
    </r>
  </si>
  <si>
    <t>CL15H6</t>
  </si>
  <si>
    <t>Acetate 25 mM pH4</t>
  </si>
  <si>
    <r>
      <rPr>
        <u/>
        <sz val="9"/>
        <color rgb="FF000000"/>
        <rFont val="Arial"/>
      </rPr>
      <t>10.1016/j.actbio.2019.11.022</t>
    </r>
  </si>
  <si>
    <r>
      <rPr>
        <u/>
        <sz val="9"/>
        <color rgb="FF000000"/>
        <rFont val="Arial"/>
      </rPr>
      <t>10.1016/j.actbio.2019.11.022</t>
    </r>
  </si>
  <si>
    <t>CL15A6</t>
  </si>
  <si>
    <r>
      <rPr>
        <u/>
        <sz val="9"/>
        <color rgb="FF000000"/>
        <rFont val="Arial"/>
      </rPr>
      <t>10.1016/j.actbio.2019.11.022</t>
    </r>
  </si>
  <si>
    <t>empty</t>
  </si>
  <si>
    <t>Citrate 100 mM pH6</t>
  </si>
  <si>
    <t>44.68</t>
  </si>
  <si>
    <t>0.12</t>
  </si>
  <si>
    <t>1.82</t>
  </si>
  <si>
    <t>Datas obtenues dans les supplementaries</t>
  </si>
  <si>
    <t>PBS 10 mM pH 7,4</t>
  </si>
  <si>
    <t>48.73</t>
  </si>
  <si>
    <t>2.53</t>
  </si>
  <si>
    <t>43.97</t>
  </si>
  <si>
    <t>1.75</t>
  </si>
  <si>
    <t>47.81</t>
  </si>
  <si>
    <t>0.18</t>
  </si>
  <si>
    <t>44.88</t>
  </si>
  <si>
    <t>1.49</t>
  </si>
  <si>
    <t>49.43</t>
  </si>
  <si>
    <t>42.95</t>
  </si>
  <si>
    <t>1.19</t>
  </si>
  <si>
    <t>45.15</t>
  </si>
  <si>
    <t>1.65</t>
  </si>
  <si>
    <t>48.48</t>
  </si>
  <si>
    <t>50.06</t>
  </si>
  <si>
    <t>1.55</t>
  </si>
  <si>
    <t>59.53</t>
  </si>
  <si>
    <t>1.68</t>
  </si>
  <si>
    <t>60.7</t>
  </si>
  <si>
    <t>3.58</t>
  </si>
  <si>
    <t>53.88</t>
  </si>
  <si>
    <t>1.42</t>
  </si>
  <si>
    <t>57.23</t>
  </si>
  <si>
    <t>3.39</t>
  </si>
  <si>
    <t>Citrate 100mM pH 6</t>
  </si>
  <si>
    <t>63.9</t>
  </si>
  <si>
    <t>0.42</t>
  </si>
  <si>
    <t>0.67</t>
  </si>
  <si>
    <t>Tris 10 mM pH 7,4</t>
  </si>
  <si>
    <t>65.92</t>
  </si>
  <si>
    <t>0.72</t>
  </si>
  <si>
    <t>0.68</t>
  </si>
  <si>
    <t>45.75</t>
  </si>
  <si>
    <t>0.83</t>
  </si>
  <si>
    <t>60.26</t>
  </si>
  <si>
    <t>44.05</t>
  </si>
  <si>
    <t>0.98</t>
  </si>
  <si>
    <t>55.71</t>
  </si>
  <si>
    <t>1.38</t>
  </si>
  <si>
    <t>45.56</t>
  </si>
  <si>
    <t>0.9</t>
  </si>
  <si>
    <t>47.3</t>
  </si>
  <si>
    <t>1.99</t>
  </si>
  <si>
    <t>49.7</t>
  </si>
  <si>
    <t>1.13</t>
  </si>
  <si>
    <t>52.13</t>
  </si>
  <si>
    <t>Yathindranath et al., 2024</t>
  </si>
  <si>
    <r>
      <rPr>
        <u/>
        <sz val="12"/>
        <color rgb="FF000000"/>
        <rFont val="Calibri"/>
        <scheme val="minor"/>
      </rPr>
      <t>10.2147/IJN.S448005</t>
    </r>
  </si>
  <si>
    <t>Sodium acetate 25 mM pH4</t>
  </si>
  <si>
    <t>86.24</t>
  </si>
  <si>
    <t>0.118</t>
  </si>
  <si>
    <t>-0.13</t>
  </si>
  <si>
    <r>
      <rPr>
        <u/>
        <sz val="12"/>
        <color rgb="FF000000"/>
        <rFont val="Calibri"/>
        <scheme val="minor"/>
      </rPr>
      <t>10.2147/IJN.S448005</t>
    </r>
  </si>
  <si>
    <t>88.13</t>
  </si>
  <si>
    <t>0.152</t>
  </si>
  <si>
    <t>-0.01</t>
  </si>
  <si>
    <t>Billingsley et al., 2023</t>
  </si>
  <si>
    <t>10.1021/acs.nanolett.1c02503</t>
  </si>
  <si>
    <t>C14-4</t>
  </si>
  <si>
    <t>21.98</t>
  </si>
  <si>
    <t>43.96</t>
  </si>
  <si>
    <t>Citrate 10 mM</t>
  </si>
  <si>
    <r>
      <rPr>
        <u/>
        <sz val="9"/>
        <color rgb="FF000000"/>
        <rFont val="Arial"/>
      </rPr>
      <t>10.1021/acs.nanolett.1c02503</t>
    </r>
  </si>
  <si>
    <t>32.79</t>
  </si>
  <si>
    <t>40.98</t>
  </si>
  <si>
    <t>1.64</t>
  </si>
  <si>
    <t>78.6</t>
  </si>
  <si>
    <t>38.71</t>
  </si>
  <si>
    <t>3.23</t>
  </si>
  <si>
    <t>80.1</t>
  </si>
  <si>
    <t>42.11</t>
  </si>
  <si>
    <t>36.84</t>
  </si>
  <si>
    <t>5.26</t>
  </si>
  <si>
    <t>57.5</t>
  </si>
  <si>
    <t>0.26</t>
  </si>
  <si>
    <t>28.57</t>
  </si>
  <si>
    <t>7.14</t>
  </si>
  <si>
    <t>58.4</t>
  </si>
  <si>
    <t>33.15</t>
  </si>
  <si>
    <t>38.67</t>
  </si>
  <si>
    <t>0.55</t>
  </si>
  <si>
    <t>126.2</t>
  </si>
  <si>
    <t>41.67</t>
  </si>
  <si>
    <t>31.25</t>
  </si>
  <si>
    <t>101.1</t>
  </si>
  <si>
    <t>37.5</t>
  </si>
  <si>
    <t>6.25</t>
  </si>
  <si>
    <t>57.3</t>
  </si>
  <si>
    <t>21.62</t>
  </si>
  <si>
    <t>37.84</t>
  </si>
  <si>
    <t>34.88</t>
  </si>
  <si>
    <t>23.26</t>
  </si>
  <si>
    <t>1.16</t>
  </si>
  <si>
    <t>103.4</t>
  </si>
  <si>
    <t>39.8</t>
  </si>
  <si>
    <t>24.88</t>
  </si>
  <si>
    <t>0.5</t>
  </si>
  <si>
    <t>10.99</t>
  </si>
  <si>
    <t>38.46</t>
  </si>
  <si>
    <t>110.7</t>
  </si>
  <si>
    <t>20.94</t>
  </si>
  <si>
    <t>31.41</t>
  </si>
  <si>
    <t>0.52</t>
  </si>
  <si>
    <t>142.1</t>
  </si>
  <si>
    <t>23.81</t>
  </si>
  <si>
    <t>4.76</t>
  </si>
  <si>
    <t>105.6</t>
  </si>
  <si>
    <t>37.21</t>
  </si>
  <si>
    <t>2.33</t>
  </si>
  <si>
    <t>102.6</t>
  </si>
  <si>
    <t>46.5</t>
  </si>
  <si>
    <t>93.9</t>
  </si>
  <si>
    <t>34.29</t>
  </si>
  <si>
    <t>22.86</t>
  </si>
  <si>
    <t>2.86</t>
  </si>
  <si>
    <t>85.4</t>
  </si>
  <si>
    <t>41.03</t>
  </si>
  <si>
    <t>20.51</t>
  </si>
  <si>
    <t>2.56</t>
  </si>
  <si>
    <t>95.9</t>
  </si>
  <si>
    <t>32.43</t>
  </si>
  <si>
    <t>125.1</t>
  </si>
  <si>
    <t>35.9</t>
  </si>
  <si>
    <t>25.64</t>
  </si>
  <si>
    <t>113.9</t>
  </si>
  <si>
    <t>39.02</t>
  </si>
  <si>
    <t>24.39</t>
  </si>
  <si>
    <t>2.44</t>
  </si>
  <si>
    <t>115.4</t>
  </si>
  <si>
    <t>104.8</t>
  </si>
  <si>
    <t>107.4</t>
  </si>
  <si>
    <t>19.51</t>
  </si>
  <si>
    <t>90.3</t>
  </si>
  <si>
    <t>30.77</t>
  </si>
  <si>
    <t>100.5</t>
  </si>
  <si>
    <t>34.15</t>
  </si>
  <si>
    <t>94.2</t>
  </si>
  <si>
    <t>71.4</t>
  </si>
  <si>
    <t>0.27</t>
  </si>
  <si>
    <t>Swingle et al., 2025</t>
  </si>
  <si>
    <t>10.1038/s41586-024-08291-2</t>
  </si>
  <si>
    <t>C12-493</t>
  </si>
  <si>
    <t>DNA</t>
  </si>
  <si>
    <t>106.7</t>
  </si>
  <si>
    <t>0.384</t>
  </si>
  <si>
    <t>70.5</t>
  </si>
  <si>
    <t>87.2</t>
  </si>
  <si>
    <t>0.405</t>
  </si>
  <si>
    <t>86.6</t>
  </si>
  <si>
    <t>C14-494</t>
  </si>
  <si>
    <t>101.7</t>
  </si>
  <si>
    <t>0.246</t>
  </si>
  <si>
    <t>78.7</t>
  </si>
  <si>
    <t>0.265</t>
  </si>
  <si>
    <t>80.7</t>
  </si>
  <si>
    <t>C12-200</t>
  </si>
  <si>
    <t>83.3</t>
  </si>
  <si>
    <t>0.422</t>
  </si>
  <si>
    <t>64.3</t>
  </si>
  <si>
    <t>111.4</t>
  </si>
  <si>
    <t>0.399</t>
  </si>
  <si>
    <t>84.7</t>
  </si>
  <si>
    <t>88.5</t>
  </si>
  <si>
    <t>0.376</t>
  </si>
  <si>
    <t>82.2</t>
  </si>
  <si>
    <t>127.9</t>
  </si>
  <si>
    <t>0.445</t>
  </si>
  <si>
    <t>82.8</t>
  </si>
  <si>
    <t>Su et al., 2024</t>
  </si>
  <si>
    <r>
      <rPr>
        <u/>
        <sz val="12"/>
        <color rgb="FF000000"/>
        <rFont val="Calibri"/>
        <scheme val="minor"/>
      </rPr>
      <t>10.1038/s41467-024-50093-7</t>
    </r>
  </si>
  <si>
    <t>Citrate 10 mM pH4</t>
  </si>
  <si>
    <t>Lee et al., 2024</t>
  </si>
  <si>
    <r>
      <rPr>
        <u/>
        <sz val="9"/>
        <color rgb="FF000000"/>
        <rFont val="Arial"/>
      </rPr>
      <t>10.34133/bmr.0017</t>
    </r>
  </si>
  <si>
    <t>71.48</t>
  </si>
  <si>
    <t>0.106</t>
  </si>
  <si>
    <t>92.3</t>
  </si>
  <si>
    <r>
      <rPr>
        <u/>
        <sz val="12"/>
        <color rgb="FF000000"/>
        <rFont val="Calibri"/>
        <scheme val="minor"/>
      </rPr>
      <t>10.1038/s41467-024-50093-7</t>
    </r>
  </si>
  <si>
    <t>cITRATE 10 Mm Ph4</t>
  </si>
  <si>
    <t>Sabnis et al., 2018</t>
  </si>
  <si>
    <r>
      <rPr>
        <u/>
        <sz val="12"/>
        <color rgb="FF000000"/>
        <rFont val="Calibri"/>
        <scheme val="minor"/>
      </rPr>
      <t>10.1016/j.ymthe.2018.03.010</t>
    </r>
  </si>
  <si>
    <t>Sodium acetate 6,25 mM pH 5</t>
  </si>
  <si>
    <t>85.8</t>
  </si>
  <si>
    <t>Geall et al., 2012</t>
  </si>
  <si>
    <r>
      <rPr>
        <u/>
        <sz val="9"/>
        <color rgb="FF000000"/>
        <rFont val="Arial"/>
      </rPr>
      <t>10.1073/pnas.1209367109</t>
    </r>
  </si>
  <si>
    <t>85.3</t>
  </si>
  <si>
    <t xml:space="preserve">Dongyan Li et at.2025 </t>
  </si>
  <si>
    <t>https://doi.org/10.1016/j.mtbio.2025.101695</t>
  </si>
  <si>
    <t>Sodium acetate 33 mM</t>
  </si>
  <si>
    <t>409.5</t>
  </si>
  <si>
    <t>0.081</t>
  </si>
  <si>
    <t>Miao et al., 2023</t>
  </si>
  <si>
    <r>
      <rPr>
        <u/>
        <sz val="9"/>
        <color rgb="FF000000"/>
        <rFont val="Arial"/>
      </rPr>
      <t>10.1016/j.ijpharm.2023.123050</t>
    </r>
  </si>
  <si>
    <t>AX4</t>
  </si>
  <si>
    <t>0.02</t>
  </si>
  <si>
    <t>-3.3</t>
  </si>
  <si>
    <t>Meng et al. 2024</t>
  </si>
  <si>
    <r>
      <rPr>
        <u/>
        <sz val="12"/>
        <color rgb="FF000000"/>
        <rFont val="Calibri"/>
        <scheme val="minor"/>
      </rPr>
      <t>10.1186/s12967-024-05711-9</t>
    </r>
  </si>
  <si>
    <t>163.9</t>
  </si>
  <si>
    <t>0.3</t>
  </si>
  <si>
    <t>3.57</t>
  </si>
  <si>
    <t>Forrester et al., 2025</t>
  </si>
  <si>
    <r>
      <rPr>
        <u/>
        <sz val="12"/>
        <color rgb="FF000000"/>
        <rFont val="Calibri"/>
        <scheme val="minor"/>
      </rPr>
      <t>10.1186/s12967-024-05711-9</t>
    </r>
  </si>
  <si>
    <t>citrate 50mM pH 5</t>
  </si>
  <si>
    <t>Outputs estimés d'après les graphiques</t>
  </si>
  <si>
    <r>
      <rPr>
        <u/>
        <sz val="12"/>
        <color rgb="FF000000"/>
        <rFont val="Calibri"/>
        <scheme val="minor"/>
      </rPr>
      <t>10.1186/s12967-024-05711-9</t>
    </r>
  </si>
  <si>
    <r>
      <rPr>
        <u/>
        <sz val="12"/>
        <color rgb="FF000000"/>
        <rFont val="Calibri"/>
        <scheme val="minor"/>
      </rPr>
      <t>10.1186/s12967-024-05711-9</t>
    </r>
  </si>
  <si>
    <r>
      <rPr>
        <u/>
        <sz val="12"/>
        <color rgb="FF000000"/>
        <rFont val="Calibri"/>
        <scheme val="minor"/>
      </rPr>
      <t>10.1186/s12967-024-05711-9</t>
    </r>
  </si>
  <si>
    <t>C12-480</t>
  </si>
  <si>
    <t>pipette_mixing</t>
  </si>
  <si>
    <t>141.0</t>
  </si>
  <si>
    <t>0.071</t>
  </si>
  <si>
    <t>5.80</t>
  </si>
  <si>
    <t>60.9</t>
  </si>
  <si>
    <t>Pipette mixing</t>
  </si>
  <si>
    <t>C12-482</t>
  </si>
  <si>
    <t>144.3</t>
  </si>
  <si>
    <t>0.092</t>
  </si>
  <si>
    <t>-3.26</t>
  </si>
  <si>
    <t>78.3</t>
  </si>
  <si>
    <t>C12-488</t>
  </si>
  <si>
    <t>156.1</t>
  </si>
  <si>
    <t>0.107</t>
  </si>
  <si>
    <t>4.50</t>
  </si>
  <si>
    <t>68.9</t>
  </si>
  <si>
    <t>C12-489</t>
  </si>
  <si>
    <t>149.4</t>
  </si>
  <si>
    <t>0.119</t>
  </si>
  <si>
    <t>-9.00</t>
  </si>
  <si>
    <t>84.2</t>
  </si>
  <si>
    <t>C12-490</t>
  </si>
  <si>
    <t>148.0</t>
  </si>
  <si>
    <t>0.136</t>
  </si>
  <si>
    <t>-5.84</t>
  </si>
  <si>
    <t>76.4</t>
  </si>
  <si>
    <t>136.7</t>
  </si>
  <si>
    <t>0.154</t>
  </si>
  <si>
    <t>91.8</t>
  </si>
  <si>
    <t>C12-494</t>
  </si>
  <si>
    <t>170.2</t>
  </si>
  <si>
    <t>83.9</t>
  </si>
  <si>
    <t>C12-497</t>
  </si>
  <si>
    <t>152.7</t>
  </si>
  <si>
    <t>0.192</t>
  </si>
  <si>
    <t>5.20</t>
  </si>
  <si>
    <t>81.2</t>
  </si>
  <si>
    <t>C14-480</t>
  </si>
  <si>
    <t>195.3</t>
  </si>
  <si>
    <t>0.252</t>
  </si>
  <si>
    <t>67.0</t>
  </si>
  <si>
    <t>C14-482</t>
  </si>
  <si>
    <t>148.7</t>
  </si>
  <si>
    <t>0.110</t>
  </si>
  <si>
    <t>73.9</t>
  </si>
  <si>
    <t>C14-488</t>
  </si>
  <si>
    <t>138.0</t>
  </si>
  <si>
    <t>0.127</t>
  </si>
  <si>
    <t>7.52</t>
  </si>
  <si>
    <t>70.6</t>
  </si>
  <si>
    <t>C14-489</t>
  </si>
  <si>
    <t>141.6</t>
  </si>
  <si>
    <t>-5.52</t>
  </si>
  <si>
    <t>83.7</t>
  </si>
  <si>
    <t>C14-490</t>
  </si>
  <si>
    <t>135.6</t>
  </si>
  <si>
    <t>0.093</t>
  </si>
  <si>
    <t>-7.86</t>
  </si>
  <si>
    <t>74.7</t>
  </si>
  <si>
    <t>C14-493</t>
  </si>
  <si>
    <t>137.5</t>
  </si>
  <si>
    <t>0.114</t>
  </si>
  <si>
    <t>-0.58</t>
  </si>
  <si>
    <t>89.4</t>
  </si>
  <si>
    <t>151.4</t>
  </si>
  <si>
    <t>0.064</t>
  </si>
  <si>
    <t>8.98</t>
  </si>
  <si>
    <t>76.5</t>
  </si>
  <si>
    <t>C14-497</t>
  </si>
  <si>
    <t>130.6</t>
  </si>
  <si>
    <t>0.109</t>
  </si>
  <si>
    <t>9.91</t>
  </si>
  <si>
    <t>C16-480</t>
  </si>
  <si>
    <t>164.9</t>
  </si>
  <si>
    <t>0.036</t>
  </si>
  <si>
    <t>5.94</t>
  </si>
  <si>
    <t>47.7</t>
  </si>
  <si>
    <t>C16-482</t>
  </si>
  <si>
    <t>160.2</t>
  </si>
  <si>
    <t>-0.29</t>
  </si>
  <si>
    <t>69.6</t>
  </si>
  <si>
    <t>C16-488</t>
  </si>
  <si>
    <t>157.2</t>
  </si>
  <si>
    <t>3.90</t>
  </si>
  <si>
    <t>63.2</t>
  </si>
  <si>
    <t>C16-489</t>
  </si>
  <si>
    <t>160.3</t>
  </si>
  <si>
    <t>0.078</t>
  </si>
  <si>
    <t>-3.06</t>
  </si>
  <si>
    <t>62.3</t>
  </si>
  <si>
    <t>C16-490</t>
  </si>
  <si>
    <t>155.0</t>
  </si>
  <si>
    <t>0.076</t>
  </si>
  <si>
    <t>-11.70</t>
  </si>
  <si>
    <t>63.1</t>
  </si>
  <si>
    <t>C16-493</t>
  </si>
  <si>
    <t>0.090</t>
  </si>
  <si>
    <t>-3.48</t>
  </si>
  <si>
    <t>32.6</t>
  </si>
  <si>
    <t>C16-494</t>
  </si>
  <si>
    <t>163.6</t>
  </si>
  <si>
    <t>0.062</t>
  </si>
  <si>
    <t>4.95</t>
  </si>
  <si>
    <t>52.3</t>
  </si>
  <si>
    <t>C16-497</t>
  </si>
  <si>
    <t>146.5</t>
  </si>
  <si>
    <t>0.031</t>
  </si>
  <si>
    <t>6.21</t>
  </si>
  <si>
    <t>65.1</t>
  </si>
  <si>
    <t>52.5</t>
  </si>
  <si>
    <t>163.3</t>
  </si>
  <si>
    <t>0.070</t>
  </si>
  <si>
    <t>5.96</t>
  </si>
  <si>
    <t>65.4</t>
  </si>
  <si>
    <t>176.9</t>
  </si>
  <si>
    <t>0.121</t>
  </si>
  <si>
    <t>4.73</t>
  </si>
  <si>
    <t>72.0</t>
  </si>
  <si>
    <t>161.9</t>
  </si>
  <si>
    <t>0.115</t>
  </si>
  <si>
    <t>11.53</t>
  </si>
  <si>
    <t>75.0</t>
  </si>
  <si>
    <t>162.2</t>
  </si>
  <si>
    <t>75.5</t>
  </si>
  <si>
    <t>188.3</t>
  </si>
  <si>
    <t>0.085</t>
  </si>
  <si>
    <t>7.33</t>
  </si>
  <si>
    <t>59.1</t>
  </si>
  <si>
    <t>161.1</t>
  </si>
  <si>
    <t>0.075</t>
  </si>
  <si>
    <t>0.87</t>
  </si>
  <si>
    <t>72.7</t>
  </si>
  <si>
    <t>208.0</t>
  </si>
  <si>
    <t>0.144</t>
  </si>
  <si>
    <t>13.27</t>
  </si>
  <si>
    <t>71.9</t>
  </si>
  <si>
    <t>162.6</t>
  </si>
  <si>
    <t>0.211</t>
  </si>
  <si>
    <t>12.20</t>
  </si>
  <si>
    <t>70.7</t>
  </si>
  <si>
    <t>161.5</t>
  </si>
  <si>
    <t>0.058</t>
  </si>
  <si>
    <t>7.92</t>
  </si>
  <si>
    <t>45.0</t>
  </si>
  <si>
    <t>166.5</t>
  </si>
  <si>
    <t>0.59</t>
  </si>
  <si>
    <t>62.6</t>
  </si>
  <si>
    <t>154.3</t>
  </si>
  <si>
    <t>0.103</t>
  </si>
  <si>
    <t>6.96</t>
  </si>
  <si>
    <t>61.6</t>
  </si>
  <si>
    <t>147.6</t>
  </si>
  <si>
    <t>8.99</t>
  </si>
  <si>
    <t>75.3</t>
  </si>
  <si>
    <t>164.4</t>
  </si>
  <si>
    <t>0.191</t>
  </si>
  <si>
    <t>6.59</t>
  </si>
  <si>
    <t>74.5</t>
  </si>
  <si>
    <t>170.8</t>
  </si>
  <si>
    <t>0.223</t>
  </si>
  <si>
    <t>-8.48</t>
  </si>
  <si>
    <t>79.4</t>
  </si>
  <si>
    <t>182.9</t>
  </si>
  <si>
    <t>0.281</t>
  </si>
  <si>
    <t>1.73</t>
  </si>
  <si>
    <t>81.3</t>
  </si>
  <si>
    <t>154.5</t>
  </si>
  <si>
    <t>0.286</t>
  </si>
  <si>
    <t>6.64</t>
  </si>
  <si>
    <t>81.9</t>
  </si>
  <si>
    <t>237.1</t>
  </si>
  <si>
    <t>0.217</t>
  </si>
  <si>
    <t>155.6</t>
  </si>
  <si>
    <t>-17.83</t>
  </si>
  <si>
    <t>74.3</t>
  </si>
  <si>
    <t>0.124</t>
  </si>
  <si>
    <t>0.85</t>
  </si>
  <si>
    <t>77.3</t>
  </si>
  <si>
    <t>137.8</t>
  </si>
  <si>
    <t>0.149</t>
  </si>
  <si>
    <t>1.88</t>
  </si>
  <si>
    <t>81.0</t>
  </si>
  <si>
    <t>154.0</t>
  </si>
  <si>
    <t>5.89</t>
  </si>
  <si>
    <t>151.8</t>
  </si>
  <si>
    <t>0.046</t>
  </si>
  <si>
    <t>-7.48</t>
  </si>
  <si>
    <t>149.9</t>
  </si>
  <si>
    <t>0.021</t>
  </si>
  <si>
    <t>-5.46</t>
  </si>
  <si>
    <t>66.6</t>
  </si>
  <si>
    <t>137.0</t>
  </si>
  <si>
    <t>0.077</t>
  </si>
  <si>
    <t>-0.97</t>
  </si>
  <si>
    <t>54.1</t>
  </si>
  <si>
    <t>130.2</t>
  </si>
  <si>
    <t>0.116</t>
  </si>
  <si>
    <t>60.2</t>
  </si>
  <si>
    <t>131.5</t>
  </si>
  <si>
    <t>0.080</t>
  </si>
  <si>
    <t>0.89</t>
  </si>
  <si>
    <t>70.9</t>
  </si>
  <si>
    <t>129.3</t>
  </si>
  <si>
    <t>0.156</t>
  </si>
  <si>
    <t>4.88</t>
  </si>
  <si>
    <t>80.2</t>
  </si>
  <si>
    <t>11.18</t>
  </si>
  <si>
    <t>148.1</t>
  </si>
  <si>
    <t>0.053</t>
  </si>
  <si>
    <t>9.25</t>
  </si>
  <si>
    <t>62.0</t>
  </si>
  <si>
    <t>153.1</t>
  </si>
  <si>
    <t>-2.51</t>
  </si>
  <si>
    <t>75.8</t>
  </si>
  <si>
    <t>169.6</t>
  </si>
  <si>
    <t>0.082</t>
  </si>
  <si>
    <t>3.81</t>
  </si>
  <si>
    <t>129.7</t>
  </si>
  <si>
    <t>9.74</t>
  </si>
  <si>
    <t>71.7</t>
  </si>
  <si>
    <t>149.6</t>
  </si>
  <si>
    <t>4.57</t>
  </si>
  <si>
    <t>50.7</t>
  </si>
  <si>
    <t>153.0</t>
  </si>
  <si>
    <t>0.056</t>
  </si>
  <si>
    <t>-1.59</t>
  </si>
  <si>
    <t>71.5</t>
  </si>
  <si>
    <t>167.0</t>
  </si>
  <si>
    <t>0.034</t>
  </si>
  <si>
    <t>3.70</t>
  </si>
  <si>
    <t>70.3</t>
  </si>
  <si>
    <t>132.1</t>
  </si>
  <si>
    <t>0.065</t>
  </si>
  <si>
    <t>3.95</t>
  </si>
  <si>
    <t>137.4</t>
  </si>
  <si>
    <t>5.31</t>
  </si>
  <si>
    <t>49.2</t>
  </si>
  <si>
    <t>150.2</t>
  </si>
  <si>
    <t>0.068</t>
  </si>
  <si>
    <t>-0.54</t>
  </si>
  <si>
    <t>64.6</t>
  </si>
  <si>
    <t>3.19</t>
  </si>
  <si>
    <t>113.7</t>
  </si>
  <si>
    <t>0.147</t>
  </si>
  <si>
    <t>9.47</t>
  </si>
  <si>
    <t>68.5</t>
  </si>
  <si>
    <t>145.9</t>
  </si>
  <si>
    <t>7.29</t>
  </si>
  <si>
    <t>42.7</t>
  </si>
  <si>
    <t>141.9</t>
  </si>
  <si>
    <t>-2.24</t>
  </si>
  <si>
    <t>62.9</t>
  </si>
  <si>
    <t>145.4</t>
  </si>
  <si>
    <t>0.059</t>
  </si>
  <si>
    <t>61.4</t>
  </si>
  <si>
    <t>136.2</t>
  </si>
  <si>
    <t>0.102</t>
  </si>
  <si>
    <t>3.47</t>
  </si>
  <si>
    <t>0.096</t>
  </si>
  <si>
    <t>5.84</t>
  </si>
  <si>
    <t>33.7</t>
  </si>
  <si>
    <t>155.5</t>
  </si>
  <si>
    <t>0.067</t>
  </si>
  <si>
    <t>-3.16</t>
  </si>
  <si>
    <t>48.3</t>
  </si>
  <si>
    <t>-2.66</t>
  </si>
  <si>
    <t>55.5</t>
  </si>
  <si>
    <t>130.9</t>
  </si>
  <si>
    <t>63.4</t>
  </si>
  <si>
    <t>23.25</t>
  </si>
  <si>
    <t>143.4</t>
  </si>
  <si>
    <t>0.047</t>
  </si>
  <si>
    <t>7.96</t>
  </si>
  <si>
    <t>54.3</t>
  </si>
  <si>
    <t>0.066</t>
  </si>
  <si>
    <t>3.13</t>
  </si>
  <si>
    <t>74.8</t>
  </si>
  <si>
    <t>3.26</t>
  </si>
  <si>
    <t>72.6</t>
  </si>
  <si>
    <t>134.2</t>
  </si>
  <si>
    <t>0.133</t>
  </si>
  <si>
    <t>9.20</t>
  </si>
  <si>
    <t>66.9</t>
  </si>
  <si>
    <t>144.7</t>
  </si>
  <si>
    <t>8.36</t>
  </si>
  <si>
    <t>60.5</t>
  </si>
  <si>
    <t>0.094</t>
  </si>
  <si>
    <t>2.70</t>
  </si>
  <si>
    <t>69.8</t>
  </si>
  <si>
    <t>149.3</t>
  </si>
  <si>
    <t>5.36</t>
  </si>
  <si>
    <t>79.5</t>
  </si>
  <si>
    <t>125.5</t>
  </si>
  <si>
    <t>9.87</t>
  </si>
  <si>
    <t>79.8</t>
  </si>
  <si>
    <t>161.2</t>
  </si>
  <si>
    <t>7.53</t>
  </si>
  <si>
    <t>168.2</t>
  </si>
  <si>
    <t>4.48</t>
  </si>
  <si>
    <t>67.1</t>
  </si>
  <si>
    <t>166.6</t>
  </si>
  <si>
    <t>0.100</t>
  </si>
  <si>
    <t>6.51</t>
  </si>
  <si>
    <t>64.8</t>
  </si>
  <si>
    <t>145.6</t>
  </si>
  <si>
    <t>8.89</t>
  </si>
  <si>
    <t>72.9</t>
  </si>
  <si>
    <t>143.6</t>
  </si>
  <si>
    <t>7.75</t>
  </si>
  <si>
    <t>57.8</t>
  </si>
  <si>
    <t>148.2</t>
  </si>
  <si>
    <t>0.145</t>
  </si>
  <si>
    <t>66.2</t>
  </si>
  <si>
    <t>144.4</t>
  </si>
  <si>
    <t>0.225</t>
  </si>
  <si>
    <t>5.87</t>
  </si>
  <si>
    <t>121.0</t>
  </si>
  <si>
    <t>0.185</t>
  </si>
  <si>
    <t>8.16</t>
  </si>
  <si>
    <t>73.3</t>
  </si>
  <si>
    <t>139.5</t>
  </si>
  <si>
    <t>1.66</t>
  </si>
  <si>
    <t>62.2</t>
  </si>
  <si>
    <t>152.3</t>
  </si>
  <si>
    <t>-6.80</t>
  </si>
  <si>
    <t>159.3</t>
  </si>
  <si>
    <t>0.130</t>
  </si>
  <si>
    <t>-0.38</t>
  </si>
  <si>
    <t>140.1</t>
  </si>
  <si>
    <t>0.129</t>
  </si>
  <si>
    <t>0.56</t>
  </si>
  <si>
    <t>133.1</t>
  </si>
  <si>
    <t>0.084</t>
  </si>
  <si>
    <t>6.14</t>
  </si>
  <si>
    <t>-11.50</t>
  </si>
  <si>
    <t>41.2</t>
  </si>
  <si>
    <t>0.079</t>
  </si>
  <si>
    <t>-5.12</t>
  </si>
  <si>
    <t>45.6</t>
  </si>
  <si>
    <t>134.9</t>
  </si>
  <si>
    <t>0.113</t>
  </si>
  <si>
    <t>0.29</t>
  </si>
  <si>
    <t>41.6</t>
  </si>
  <si>
    <t>158.5</t>
  </si>
  <si>
    <t>-3.92</t>
  </si>
  <si>
    <t>173.4</t>
  </si>
  <si>
    <t>-15.67</t>
  </si>
  <si>
    <t>88.2</t>
  </si>
  <si>
    <t>LÉGENDE — NanoOracle Dataset v3 (microfluidique uniquement, valeurs vérifiées)</t>
  </si>
  <si>
    <t>Colonne</t>
  </si>
  <si>
    <t>Description</t>
  </si>
  <si>
    <t>Ionizable Lipid</t>
  </si>
  <si>
    <t>Lipide ionisable. MC3 (pKa≈6.44), SM-102 (pKa≈6.68), ALC-0315 (pKa≈6.09), DODAP, DOTAP.</t>
  </si>
  <si>
    <t>Fraction molaire du lipide ionisable. Typiquement 35–50 mol%.</t>
  </si>
  <si>
    <t>DSPC (saturé, rigide) vs DOPE (insaturé, fusogène endosomal).</t>
  </si>
  <si>
    <t>Typiquement 10–20 mol%.</t>
  </si>
  <si>
    <t>Calculé par soustraction si non rapporté directement (=100-Ioniz-Helper-PEG).</t>
  </si>
  <si>
    <t>Lipide PEGylé. DMG-PEG2000 le plus courant dans les formulations approuvées.</t>
  </si>
  <si>
    <t>1.25–2.5 mol%. Variable la plus prédictive de la taille selon SHAP.</t>
  </si>
  <si>
    <t>Concentration totale en lipides dans la phase organique (mM). NR si non rapporté.</t>
  </si>
  <si>
    <t>siRNA, mRNA, saRNA, pDNA.</t>
  </si>
  <si>
    <t>Concentration du cargo en µg/mL. NR si non rapporté explicitement.</t>
  </si>
  <si>
    <t>Rapport molaire N (lipide ionisable) / P (phosphate cargo). Ou masse/masse si wt/wt.</t>
  </si>
  <si>
    <t>Buffer de la phase aqueuse. Souvent Na-acétate ou citrate à pH acide (3.0–5.0).</t>
  </si>
  <si>
    <t>Flow Rate Ratio = débit aqueux / débit organique. Typiquement 3:1.</t>
  </si>
  <si>
    <t>Débit total en mL/min. Impacte la taille.</t>
  </si>
  <si>
    <t>--- OUTPUTS ---</t>
  </si>
  <si>
    <t>Diamètre hydrodynamique moyen par DLS (Z-average) en nm. Valeur approximative si '~'.</t>
  </si>
  <si>
    <t>Polydispersity Index. &lt;0.2 = acceptable. NR si non rapporté.</t>
  </si>
  <si>
    <t>mV. NR si non rapporté.</t>
  </si>
  <si>
    <t>Encapsulation Efficiency. % de cargo encapsulé (RiboGreen ou Quant-iT).</t>
  </si>
  <si>
    <t>pKa du lipide ionisable. Valeur littérature pour les lipides commerciaux.</t>
  </si>
  <si>
    <t>--- FLAGS ---</t>
  </si>
  <si>
    <t>NR</t>
  </si>
  <si>
    <t>Not Reported : valeur non mentionnée explicitement dans le texte du papier.</t>
  </si>
  <si>
    <t>~</t>
  </si>
  <si>
    <t>Valeur approximative extraite du texte ('around 100nm', '&gt;85%').</t>
  </si>
  <si>
    <t>⚠ Non-standard lipidoid</t>
  </si>
  <si>
    <t>Lipidoïde synthétisé en laboratoire. Pas de pKa/descripteur standard disponible.</t>
  </si>
  <si>
    <t>❌ EXCLU</t>
  </si>
  <si>
    <t>Papier exclu du dataset car méthode de production non-microfluidique.</t>
  </si>
  <si>
    <t>🔒 VALIDATION</t>
  </si>
  <si>
    <t>Données de validation indépendantes — ne jamais inclure dans l'entraînement.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</si>
</sst>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32">
    <font>
      <sz val="11"/>
      <color theme="1"/>
      <name val="Calibri"/>
      <scheme val="minor"/>
    </font>
    <font>
      <b/>
      <sz val="9"/>
      <color rgb="FF000000"/>
      <name val="Arial"/>
    </font>
    <font>
      <sz val="11"/>
      <name val="Calibri"/>
    </font>
    <font>
      <b/>
      <sz val="9"/>
      <color rgb="FFFFFFFF"/>
      <name val="Arial"/>
    </font>
    <font>
      <i/>
      <sz val="8"/>
      <color rgb="FF000000"/>
      <name val="Arial"/>
    </font>
    <font>
      <i/>
      <sz val="8"/>
      <color rgb="FFEEEEEE"/>
      <name val="Arial"/>
    </font>
    <font>
      <sz val="9"/>
      <color rgb="FF000000"/>
      <name val="Arial"/>
    </font>
    <font>
      <u/>
      <sz val="9"/>
      <color rgb="FF000000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sz val="9"/>
      <color rgb="FFAAAAAA"/>
      <name val="Arial"/>
    </font>
    <font>
      <sz val="11"/>
      <color theme="1"/>
      <name val="Calibri"/>
    </font>
    <font>
      <u/>
      <sz val="9"/>
      <color rgb="FF000000"/>
      <name val="Arial"/>
    </font>
    <font>
      <b/>
      <sz val="11"/>
      <color rgb="FF000000"/>
      <name val="Calibri"/>
    </font>
    <font>
      <u/>
      <sz val="9"/>
      <color rgb="FF000000"/>
      <name val="Arial"/>
    </font>
    <font>
      <sz val="9"/>
      <color theme="1"/>
      <name val="Arial"/>
    </font>
    <font>
      <u/>
      <sz val="9"/>
      <color rgb="FF000000"/>
      <name val="Arial"/>
    </font>
    <font>
      <b/>
      <sz val="11"/>
      <color theme="1"/>
      <name val="Calibri"/>
    </font>
    <font>
      <sz val="9"/>
      <color rgb="FFE67E22"/>
      <name val="Arial"/>
    </font>
    <font>
      <u/>
      <sz val="9"/>
      <color rgb="FF000000"/>
      <name val="Arial"/>
    </font>
    <font>
      <sz val="11"/>
      <color rgb="FF000000"/>
      <name val="Calibri"/>
      <scheme val="minor"/>
    </font>
    <font>
      <u/>
      <sz val="9"/>
      <color rgb="FF000000"/>
      <name val="Arial"/>
    </font>
    <font>
      <u/>
      <sz val="9"/>
      <color rgb="FF000000"/>
      <name val="Arial"/>
    </font>
    <font>
      <u/>
      <sz val="11"/>
      <color theme="1"/>
      <name val="Calibri"/>
      <scheme val="minor"/>
    </font>
    <font>
      <u/>
      <sz val="9"/>
      <color rgb="FF000000"/>
      <name val="Arial"/>
    </font>
    <font>
      <u/>
      <sz val="9"/>
      <color rgb="FF000000"/>
      <name val="Arial"/>
    </font>
    <font>
      <u/>
      <sz val="9"/>
      <color rgb="FF000000"/>
      <name val="Arial"/>
    </font>
    <font>
      <sz val="11"/>
      <color rgb="FF0000FF"/>
      <name val="Calibri"/>
      <scheme val="minor"/>
    </font>
    <font>
      <b/>
      <sz val="10"/>
      <color rgb="FFFFFFFF"/>
      <name val="Arial"/>
    </font>
    <font>
      <b/>
      <sz val="9"/>
      <color theme="1"/>
      <name val="Arial"/>
    </font>
    <font>
      <b/>
      <u/>
      <sz val="9"/>
      <color rgb="FF000000"/>
      <name val="Arial"/>
    </font>
    <font>
      <u/>
      <sz val="12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A3B6B"/>
        <bgColor rgb="FF4A3B6B"/>
      </patternFill>
    </fill>
    <fill>
      <patternFill patternType="solid">
        <fgColor rgb="FF1A3A5C"/>
        <bgColor rgb="FF1A3A5C"/>
      </patternFill>
    </fill>
    <fill>
      <patternFill patternType="solid">
        <fgColor rgb="FF0F6E56"/>
        <bgColor rgb="FF0F6E56"/>
      </patternFill>
    </fill>
    <fill>
      <patternFill patternType="solid">
        <fgColor rgb="FFE8E0F5"/>
        <bgColor rgb="FFE8E0F5"/>
      </patternFill>
    </fill>
    <fill>
      <patternFill patternType="solid">
        <fgColor rgb="FFF4F8FC"/>
        <bgColor rgb="FFF4F8FC"/>
      </patternFill>
    </fill>
    <fill>
      <patternFill patternType="solid">
        <fgColor rgb="FFD6F0E8"/>
        <bgColor rgb="FFD6F0E8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3CD"/>
        <bgColor rgb="FFFFF3C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6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164" fontId="6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right"/>
    </xf>
    <xf numFmtId="0" fontId="6" fillId="8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3" fillId="5" borderId="6" xfId="0" applyFont="1" applyFill="1" applyBorder="1"/>
    <xf numFmtId="0" fontId="14" fillId="5" borderId="5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/>
    </xf>
    <xf numFmtId="0" fontId="6" fillId="8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5" fillId="8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 vertical="center"/>
    </xf>
    <xf numFmtId="0" fontId="1" fillId="5" borderId="5" xfId="0" applyFont="1" applyFill="1" applyBorder="1"/>
    <xf numFmtId="0" fontId="6" fillId="5" borderId="5" xfId="0" applyFont="1" applyFill="1" applyBorder="1"/>
    <xf numFmtId="0" fontId="16" fillId="6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0" fontId="9" fillId="0" borderId="0" xfId="0" applyFont="1"/>
    <xf numFmtId="0" fontId="6" fillId="5" borderId="6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center" vertical="center"/>
    </xf>
    <xf numFmtId="164" fontId="6" fillId="8" borderId="6" xfId="0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164" fontId="6" fillId="6" borderId="6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5" fillId="5" borderId="5" xfId="0" applyFont="1" applyFill="1" applyBorder="1"/>
    <xf numFmtId="0" fontId="15" fillId="6" borderId="5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17" fillId="5" borderId="6" xfId="0" applyFont="1" applyFill="1" applyBorder="1"/>
    <xf numFmtId="0" fontId="1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wrapText="1"/>
    </xf>
    <xf numFmtId="0" fontId="19" fillId="5" borderId="5" xfId="0" applyFont="1" applyFill="1" applyBorder="1"/>
    <xf numFmtId="0" fontId="6" fillId="5" borderId="5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6" borderId="5" xfId="0" applyFont="1" applyFill="1" applyBorder="1" applyAlignment="1">
      <alignment horizontal="center"/>
    </xf>
    <xf numFmtId="164" fontId="6" fillId="6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64" fontId="6" fillId="8" borderId="5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left" vertical="center"/>
    </xf>
    <xf numFmtId="0" fontId="21" fillId="5" borderId="5" xfId="0" applyFont="1" applyFill="1" applyBorder="1" applyAlignment="1">
      <alignment horizontal="left" vertical="center"/>
    </xf>
    <xf numFmtId="0" fontId="9" fillId="0" borderId="0" xfId="0" applyFont="1" applyAlignment="1">
      <alignment horizontal="right"/>
    </xf>
    <xf numFmtId="0" fontId="6" fillId="7" borderId="6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15" fillId="6" borderId="5" xfId="0" applyFont="1" applyFill="1" applyBorder="1" applyAlignment="1"/>
    <xf numFmtId="164" fontId="15" fillId="7" borderId="5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left" vertical="center"/>
    </xf>
    <xf numFmtId="165" fontId="6" fillId="6" borderId="6" xfId="0" applyNumberFormat="1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/>
    </xf>
    <xf numFmtId="0" fontId="27" fillId="0" borderId="0" xfId="0" applyFont="1"/>
    <xf numFmtId="0" fontId="9" fillId="0" borderId="0" xfId="0" applyFont="1" applyAlignment="1">
      <alignment horizontal="right"/>
    </xf>
    <xf numFmtId="0" fontId="29" fillId="9" borderId="5" xfId="0" applyFont="1" applyFill="1" applyBorder="1" applyAlignment="1">
      <alignment horizontal="left" vertical="center" wrapText="1"/>
    </xf>
    <xf numFmtId="0" fontId="15" fillId="9" borderId="5" xfId="0" applyFont="1" applyFill="1" applyBorder="1" applyAlignment="1">
      <alignment horizontal="left" vertical="center" wrapText="1"/>
    </xf>
    <xf numFmtId="0" fontId="29" fillId="8" borderId="5" xfId="0" applyFont="1" applyFill="1" applyBorder="1" applyAlignment="1">
      <alignment horizontal="left" vertical="center" wrapText="1"/>
    </xf>
    <xf numFmtId="0" fontId="15" fillId="8" borderId="5" xfId="0" applyFont="1" applyFill="1" applyBorder="1" applyAlignment="1">
      <alignment horizontal="left" vertical="center" wrapText="1"/>
    </xf>
    <xf numFmtId="0" fontId="29" fillId="7" borderId="5" xfId="0" applyFont="1" applyFill="1" applyBorder="1" applyAlignment="1">
      <alignment horizontal="left" vertical="center" wrapText="1"/>
    </xf>
    <xf numFmtId="0" fontId="29" fillId="10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38/s41467-021-26714-w" TargetMode="External"/><Relationship Id="rId21" Type="http://schemas.openxmlformats.org/officeDocument/2006/relationships/hyperlink" Target="https://doi.org/10.3390/pharmaceutics12111095" TargetMode="External"/><Relationship Id="rId42" Type="http://schemas.openxmlformats.org/officeDocument/2006/relationships/hyperlink" Target="https://doi.org/10.3390/pharmaceutics12111095" TargetMode="External"/><Relationship Id="rId47" Type="http://schemas.openxmlformats.org/officeDocument/2006/relationships/hyperlink" Target="https://doi.org/10.3390/pharmaceutics12111095" TargetMode="External"/><Relationship Id="rId63" Type="http://schemas.openxmlformats.org/officeDocument/2006/relationships/hyperlink" Target="https://doi.org/10.1016/j.mtbio.2025.101695" TargetMode="External"/><Relationship Id="rId68" Type="http://schemas.openxmlformats.org/officeDocument/2006/relationships/hyperlink" Target="https://doi.org/10.1186/s12967-024-05711-9" TargetMode="External"/><Relationship Id="rId7" Type="http://schemas.openxmlformats.org/officeDocument/2006/relationships/hyperlink" Target="https://doi.org/10.1021/acs.molpharmaceut.3c00390" TargetMode="External"/><Relationship Id="rId71" Type="http://schemas.openxmlformats.org/officeDocument/2006/relationships/comments" Target="../comments1.xml"/><Relationship Id="rId2" Type="http://schemas.openxmlformats.org/officeDocument/2006/relationships/hyperlink" Target="https://doi.org/10.1016/j.biomaterials.2012.05.002" TargetMode="External"/><Relationship Id="rId16" Type="http://schemas.openxmlformats.org/officeDocument/2006/relationships/hyperlink" Target="https://doi.org/10.3390/pharmaceutics12111095" TargetMode="External"/><Relationship Id="rId29" Type="http://schemas.openxmlformats.org/officeDocument/2006/relationships/hyperlink" Target="https://doi.org/10.1038/s41467-021-26714-w" TargetMode="External"/><Relationship Id="rId11" Type="http://schemas.openxmlformats.org/officeDocument/2006/relationships/hyperlink" Target="https://doi.org/10.1021/acs.molpharmaceut.3c00390" TargetMode="External"/><Relationship Id="rId24" Type="http://schemas.openxmlformats.org/officeDocument/2006/relationships/hyperlink" Target="https://doi.org/10.1038/s41467-021-26714-w" TargetMode="External"/><Relationship Id="rId32" Type="http://schemas.openxmlformats.org/officeDocument/2006/relationships/hyperlink" Target="https://doi.org/10.1016/j.mtbio.2025.101695" TargetMode="External"/><Relationship Id="rId37" Type="http://schemas.openxmlformats.org/officeDocument/2006/relationships/hyperlink" Target="https://doi.org/10.1016/j.actbio.2019.11.022" TargetMode="External"/><Relationship Id="rId40" Type="http://schemas.openxmlformats.org/officeDocument/2006/relationships/hyperlink" Target="https://doi.org/10.3390/pharmaceutics12111095" TargetMode="External"/><Relationship Id="rId45" Type="http://schemas.openxmlformats.org/officeDocument/2006/relationships/hyperlink" Target="https://doi.org/10.3390/pharmaceutics12111095" TargetMode="External"/><Relationship Id="rId53" Type="http://schemas.openxmlformats.org/officeDocument/2006/relationships/hyperlink" Target="https://doi.org/10.2147/ijn.s448005" TargetMode="External"/><Relationship Id="rId58" Type="http://schemas.openxmlformats.org/officeDocument/2006/relationships/hyperlink" Target="https://doi.org/10.34133/bmr.0017" TargetMode="External"/><Relationship Id="rId66" Type="http://schemas.openxmlformats.org/officeDocument/2006/relationships/hyperlink" Target="https://doi.org/10.1186/s12967-024-05711-9" TargetMode="External"/><Relationship Id="rId5" Type="http://schemas.openxmlformats.org/officeDocument/2006/relationships/hyperlink" Target="https://doi.org/10.1021/acs.molpharmaceut.3c00390" TargetMode="External"/><Relationship Id="rId61" Type="http://schemas.openxmlformats.org/officeDocument/2006/relationships/hyperlink" Target="https://doi.org/10.1073/pnas.1209367109" TargetMode="External"/><Relationship Id="rId19" Type="http://schemas.openxmlformats.org/officeDocument/2006/relationships/hyperlink" Target="https://doi.org/10.3390/pharmaceutics12111095" TargetMode="External"/><Relationship Id="rId14" Type="http://schemas.openxmlformats.org/officeDocument/2006/relationships/hyperlink" Target="https://doi.org/10.3390/pharmaceutics12111095" TargetMode="External"/><Relationship Id="rId22" Type="http://schemas.openxmlformats.org/officeDocument/2006/relationships/hyperlink" Target="https://doi.org/10.1021/acs.molpharmaceut.2c00033" TargetMode="External"/><Relationship Id="rId27" Type="http://schemas.openxmlformats.org/officeDocument/2006/relationships/hyperlink" Target="https://doi.org/10.1038/s41467-021-26714-w" TargetMode="External"/><Relationship Id="rId30" Type="http://schemas.openxmlformats.org/officeDocument/2006/relationships/hyperlink" Target="https://doi.org/10.1038/s41467-021-26714-w" TargetMode="External"/><Relationship Id="rId35" Type="http://schemas.openxmlformats.org/officeDocument/2006/relationships/hyperlink" Target="https://doi.org/10.1016/j.actbio.2019.11.022" TargetMode="External"/><Relationship Id="rId43" Type="http://schemas.openxmlformats.org/officeDocument/2006/relationships/hyperlink" Target="https://doi.org/10.3390/pharmaceutics12111095" TargetMode="External"/><Relationship Id="rId48" Type="http://schemas.openxmlformats.org/officeDocument/2006/relationships/hyperlink" Target="https://doi.org/10.3390/pharmaceutics12111095" TargetMode="External"/><Relationship Id="rId56" Type="http://schemas.openxmlformats.org/officeDocument/2006/relationships/hyperlink" Target="https://doi.org/10.1021/acs.nanolett.1c02503" TargetMode="External"/><Relationship Id="rId64" Type="http://schemas.openxmlformats.org/officeDocument/2006/relationships/hyperlink" Target="https://doi.org/10.1016/j.ijpharm.2023.123050" TargetMode="External"/><Relationship Id="rId69" Type="http://schemas.openxmlformats.org/officeDocument/2006/relationships/hyperlink" Target="https://doi.org/10.1186/s12967-024-05711-9" TargetMode="External"/><Relationship Id="rId8" Type="http://schemas.openxmlformats.org/officeDocument/2006/relationships/hyperlink" Target="https://doi.org/10.1021/acs.molpharmaceut.3c00390" TargetMode="External"/><Relationship Id="rId51" Type="http://schemas.openxmlformats.org/officeDocument/2006/relationships/hyperlink" Target="https://doi.org/10.3390/pharmaceutics12111095" TargetMode="External"/><Relationship Id="rId3" Type="http://schemas.openxmlformats.org/officeDocument/2006/relationships/hyperlink" Target="https://doi.org/10.1016/j.biomaterials.2012.05.002" TargetMode="External"/><Relationship Id="rId12" Type="http://schemas.openxmlformats.org/officeDocument/2006/relationships/hyperlink" Target="https://doi.org/10.1021/acs.molpharmaceut.3c00390" TargetMode="External"/><Relationship Id="rId17" Type="http://schemas.openxmlformats.org/officeDocument/2006/relationships/hyperlink" Target="https://doi.org/10.3390/pharmaceutics12111095" TargetMode="External"/><Relationship Id="rId25" Type="http://schemas.openxmlformats.org/officeDocument/2006/relationships/hyperlink" Target="https://doi.org/10.1038/s41467-021-26714-w" TargetMode="External"/><Relationship Id="rId33" Type="http://schemas.openxmlformats.org/officeDocument/2006/relationships/hyperlink" Target="https://doi.org/10.1021/acs.langmuir.0c03039" TargetMode="External"/><Relationship Id="rId38" Type="http://schemas.openxmlformats.org/officeDocument/2006/relationships/hyperlink" Target="https://doi.org/10.3390/pharmaceutics12111095" TargetMode="External"/><Relationship Id="rId46" Type="http://schemas.openxmlformats.org/officeDocument/2006/relationships/hyperlink" Target="https://doi.org/10.3390/pharmaceutics12111095" TargetMode="External"/><Relationship Id="rId59" Type="http://schemas.openxmlformats.org/officeDocument/2006/relationships/hyperlink" Target="https://doi.org/10.1038/s41467-024-50093-7" TargetMode="External"/><Relationship Id="rId67" Type="http://schemas.openxmlformats.org/officeDocument/2006/relationships/hyperlink" Target="https://doi.org/10.1186/s12967-024-05711-9" TargetMode="External"/><Relationship Id="rId20" Type="http://schemas.openxmlformats.org/officeDocument/2006/relationships/hyperlink" Target="https://doi.org/10.3390/pharmaceutics12111095" TargetMode="External"/><Relationship Id="rId41" Type="http://schemas.openxmlformats.org/officeDocument/2006/relationships/hyperlink" Target="https://doi.org/10.3390/pharmaceutics12111095" TargetMode="External"/><Relationship Id="rId54" Type="http://schemas.openxmlformats.org/officeDocument/2006/relationships/hyperlink" Target="https://doi.org/10.2147/ijn.s448005" TargetMode="External"/><Relationship Id="rId62" Type="http://schemas.openxmlformats.org/officeDocument/2006/relationships/hyperlink" Target="https://doi.org/10.1016/j.mtbio.2025.101695" TargetMode="External"/><Relationship Id="rId70" Type="http://schemas.openxmlformats.org/officeDocument/2006/relationships/vmlDrawing" Target="../drawings/vmlDrawing1.vml"/><Relationship Id="rId1" Type="http://schemas.openxmlformats.org/officeDocument/2006/relationships/hyperlink" Target="https://doi.org/10.1016/j.biomaterials.2012.05.002" TargetMode="External"/><Relationship Id="rId6" Type="http://schemas.openxmlformats.org/officeDocument/2006/relationships/hyperlink" Target="https://doi.org/10.1021/acs.molpharmaceut.3c00390" TargetMode="External"/><Relationship Id="rId15" Type="http://schemas.openxmlformats.org/officeDocument/2006/relationships/hyperlink" Target="https://doi.org/10.3390/pharmaceutics12111095" TargetMode="External"/><Relationship Id="rId23" Type="http://schemas.openxmlformats.org/officeDocument/2006/relationships/hyperlink" Target="https://doi.org/10.1021/acs.molpharmaceut.2c00033" TargetMode="External"/><Relationship Id="rId28" Type="http://schemas.openxmlformats.org/officeDocument/2006/relationships/hyperlink" Target="https://doi.org/10.1038/s41467-021-26714-w" TargetMode="External"/><Relationship Id="rId36" Type="http://schemas.openxmlformats.org/officeDocument/2006/relationships/hyperlink" Target="https://doi.org/10.1016/j.actbio.2019.11.022" TargetMode="External"/><Relationship Id="rId49" Type="http://schemas.openxmlformats.org/officeDocument/2006/relationships/hyperlink" Target="https://doi.org/10.3390/pharmaceutics12111095" TargetMode="External"/><Relationship Id="rId57" Type="http://schemas.openxmlformats.org/officeDocument/2006/relationships/hyperlink" Target="https://doi.org/10.1038/s41467-024-50093-7" TargetMode="External"/><Relationship Id="rId10" Type="http://schemas.openxmlformats.org/officeDocument/2006/relationships/hyperlink" Target="https://doi.org/10.1021/acs.molpharmaceut.3c00390" TargetMode="External"/><Relationship Id="rId31" Type="http://schemas.openxmlformats.org/officeDocument/2006/relationships/hyperlink" Target="https://doi.org/10.1038/s41467-021-26714-w" TargetMode="External"/><Relationship Id="rId44" Type="http://schemas.openxmlformats.org/officeDocument/2006/relationships/hyperlink" Target="https://doi.org/10.3390/pharmaceutics12111095" TargetMode="External"/><Relationship Id="rId52" Type="http://schemas.openxmlformats.org/officeDocument/2006/relationships/hyperlink" Target="https://doi.org/10.3390/pharmaceutics12111095" TargetMode="External"/><Relationship Id="rId60" Type="http://schemas.openxmlformats.org/officeDocument/2006/relationships/hyperlink" Target="https://doi.org/10.1016/j.ymthe.2018.03.010" TargetMode="External"/><Relationship Id="rId65" Type="http://schemas.openxmlformats.org/officeDocument/2006/relationships/hyperlink" Target="https://doi.org/10.1186/s12967-024-05711-9" TargetMode="External"/><Relationship Id="rId4" Type="http://schemas.openxmlformats.org/officeDocument/2006/relationships/hyperlink" Target="https://doi.org/10.1021/acs.molpharmaceut.3c00390" TargetMode="External"/><Relationship Id="rId9" Type="http://schemas.openxmlformats.org/officeDocument/2006/relationships/hyperlink" Target="https://doi.org/10.1021/acs.molpharmaceut.3c00390" TargetMode="External"/><Relationship Id="rId13" Type="http://schemas.openxmlformats.org/officeDocument/2006/relationships/hyperlink" Target="https://doi.org/10.3390/pharmaceutics12111095" TargetMode="External"/><Relationship Id="rId18" Type="http://schemas.openxmlformats.org/officeDocument/2006/relationships/hyperlink" Target="https://doi.org/10.3390/pharmaceutics12111095" TargetMode="External"/><Relationship Id="rId39" Type="http://schemas.openxmlformats.org/officeDocument/2006/relationships/hyperlink" Target="https://doi.org/10.3390/pharmaceutics12111095" TargetMode="External"/><Relationship Id="rId34" Type="http://schemas.openxmlformats.org/officeDocument/2006/relationships/hyperlink" Target="https://doi.org/10.1016/j.actbio.2019.11.022" TargetMode="External"/><Relationship Id="rId50" Type="http://schemas.openxmlformats.org/officeDocument/2006/relationships/hyperlink" Target="https://doi.org/10.3390/pharmaceutics12111095" TargetMode="External"/><Relationship Id="rId55" Type="http://schemas.openxmlformats.org/officeDocument/2006/relationships/hyperlink" Target="https://doi.org/10.1021/acs.nanolett.1c02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0" sqref="H10"/>
    </sheetView>
  </sheetViews>
  <sheetFormatPr baseColWidth="10" defaultColWidth="14.44140625" defaultRowHeight="15" customHeight="1"/>
  <cols>
    <col min="1" max="1" width="6" customWidth="1"/>
    <col min="2" max="2" width="28" customWidth="1"/>
    <col min="3" max="3" width="32" customWidth="1"/>
    <col min="4" max="4" width="7" customWidth="1"/>
    <col min="5" max="5" width="18" customWidth="1"/>
    <col min="6" max="6" width="14" customWidth="1"/>
    <col min="7" max="7" width="18" customWidth="1"/>
    <col min="8" max="8" width="14" customWidth="1"/>
    <col min="9" max="9" width="13" customWidth="1"/>
    <col min="10" max="10" width="18" customWidth="1"/>
    <col min="11" max="11" width="13" customWidth="1"/>
    <col min="12" max="14" width="14" customWidth="1"/>
    <col min="15" max="15" width="10" customWidth="1"/>
    <col min="16" max="19" width="39.44140625" customWidth="1"/>
    <col min="20" max="20" width="13" customWidth="1"/>
    <col min="21" max="22" width="14" customWidth="1"/>
    <col min="23" max="23" width="12" customWidth="1"/>
    <col min="24" max="24" width="10" customWidth="1"/>
    <col min="25" max="25" width="13" customWidth="1"/>
    <col min="26" max="26" width="14" customWidth="1"/>
    <col min="27" max="27" width="12" customWidth="1"/>
    <col min="28" max="28" width="35" customWidth="1"/>
    <col min="29" max="32" width="9.109375" customWidth="1"/>
  </cols>
  <sheetData>
    <row r="1" spans="1:28" ht="15.75" customHeight="1">
      <c r="A1" s="129" t="s">
        <v>0</v>
      </c>
      <c r="B1" s="130"/>
      <c r="C1" s="130"/>
      <c r="D1" s="131"/>
      <c r="E1" s="132" t="s">
        <v>1</v>
      </c>
      <c r="F1" s="130"/>
      <c r="G1" s="130"/>
      <c r="H1" s="130"/>
      <c r="I1" s="130"/>
      <c r="J1" s="130"/>
      <c r="K1" s="130"/>
      <c r="L1" s="131"/>
      <c r="M1" s="133" t="s">
        <v>2</v>
      </c>
      <c r="N1" s="130"/>
      <c r="O1" s="131"/>
      <c r="P1" s="133" t="s">
        <v>3</v>
      </c>
      <c r="Q1" s="130"/>
      <c r="R1" s="130"/>
      <c r="S1" s="130"/>
      <c r="T1" s="130"/>
      <c r="U1" s="131"/>
      <c r="V1" s="1" t="s">
        <v>4</v>
      </c>
      <c r="W1" s="134" t="s">
        <v>5</v>
      </c>
      <c r="X1" s="130"/>
      <c r="Y1" s="130"/>
      <c r="Z1" s="131"/>
      <c r="AA1" s="2" t="s">
        <v>6</v>
      </c>
      <c r="AB1" s="3" t="s">
        <v>7</v>
      </c>
    </row>
    <row r="2" spans="1:28" ht="43.5" customHeight="1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6" t="s">
        <v>20</v>
      </c>
      <c r="N2" s="6" t="s">
        <v>21</v>
      </c>
      <c r="O2" s="6" t="s">
        <v>22</v>
      </c>
      <c r="P2" s="6" t="s">
        <v>23</v>
      </c>
      <c r="Q2" s="7" t="s">
        <v>24</v>
      </c>
      <c r="R2" s="8" t="s">
        <v>25</v>
      </c>
      <c r="S2" s="7" t="s">
        <v>26</v>
      </c>
      <c r="T2" s="6" t="s">
        <v>27</v>
      </c>
      <c r="U2" s="6" t="s">
        <v>28</v>
      </c>
      <c r="V2" s="7" t="s">
        <v>29</v>
      </c>
      <c r="W2" s="9" t="s">
        <v>30</v>
      </c>
      <c r="X2" s="9" t="s">
        <v>31</v>
      </c>
      <c r="Y2" s="9" t="s">
        <v>32</v>
      </c>
      <c r="Z2" s="9" t="s">
        <v>33</v>
      </c>
      <c r="AA2" s="6" t="s">
        <v>34</v>
      </c>
      <c r="AB2" s="10" t="s">
        <v>35</v>
      </c>
    </row>
    <row r="3" spans="1:28" ht="15" customHeight="1">
      <c r="A3" s="11" t="s">
        <v>36</v>
      </c>
      <c r="B3" s="11" t="s">
        <v>36</v>
      </c>
      <c r="C3" s="11" t="s">
        <v>36</v>
      </c>
      <c r="D3" s="11" t="s">
        <v>37</v>
      </c>
      <c r="E3" s="12" t="s">
        <v>38</v>
      </c>
      <c r="F3" s="12" t="s">
        <v>39</v>
      </c>
      <c r="G3" s="12" t="s">
        <v>38</v>
      </c>
      <c r="H3" s="12" t="s">
        <v>39</v>
      </c>
      <c r="I3" s="12" t="s">
        <v>39</v>
      </c>
      <c r="J3" s="12" t="s">
        <v>38</v>
      </c>
      <c r="K3" s="12" t="s">
        <v>39</v>
      </c>
      <c r="L3" s="12" t="s">
        <v>40</v>
      </c>
      <c r="M3" s="13" t="s">
        <v>38</v>
      </c>
      <c r="N3" s="13" t="s">
        <v>41</v>
      </c>
      <c r="O3" s="13" t="s">
        <v>36</v>
      </c>
      <c r="P3" s="13" t="s">
        <v>38</v>
      </c>
      <c r="Q3" s="13"/>
      <c r="R3" s="14"/>
      <c r="S3" s="13"/>
      <c r="T3" s="13" t="s">
        <v>36</v>
      </c>
      <c r="U3" s="13" t="s">
        <v>42</v>
      </c>
      <c r="V3" s="15" t="s">
        <v>38</v>
      </c>
      <c r="W3" s="16" t="s">
        <v>43</v>
      </c>
      <c r="X3" s="16" t="s">
        <v>36</v>
      </c>
      <c r="Y3" s="16" t="s">
        <v>44</v>
      </c>
      <c r="Z3" s="16" t="s">
        <v>45</v>
      </c>
      <c r="AA3" s="13" t="s">
        <v>36</v>
      </c>
      <c r="AB3" s="17" t="s">
        <v>36</v>
      </c>
    </row>
    <row r="4" spans="1:28" ht="18" customHeight="1">
      <c r="A4" s="18">
        <v>1</v>
      </c>
      <c r="B4" s="19" t="s">
        <v>46</v>
      </c>
      <c r="C4" s="18" t="s">
        <v>47</v>
      </c>
      <c r="D4" s="18">
        <v>2022</v>
      </c>
      <c r="E4" s="20" t="s">
        <v>48</v>
      </c>
      <c r="F4" s="21">
        <v>45</v>
      </c>
      <c r="G4" s="21" t="s">
        <v>49</v>
      </c>
      <c r="H4" s="22">
        <v>46280</v>
      </c>
      <c r="I4" s="23" t="s">
        <v>50</v>
      </c>
      <c r="J4" s="24" t="s">
        <v>51</v>
      </c>
      <c r="K4" s="23" t="s">
        <v>52</v>
      </c>
      <c r="L4" s="21">
        <v>25</v>
      </c>
      <c r="M4" s="23" t="s">
        <v>53</v>
      </c>
      <c r="N4" s="21">
        <v>100</v>
      </c>
      <c r="O4" s="21">
        <v>10</v>
      </c>
      <c r="P4" s="21" t="s">
        <v>54</v>
      </c>
      <c r="Q4" s="21" t="str">
        <f ca="1">IFERROR(__xludf.DUMMYFUNCTION("IF(P4="""","""",IF(REGEXMATCH(UPPER(P4),""CITRATE""),""Citrate"",IF(REGEXMATCH(UPPER(P4),""ACETATE""),""Sodium Acetate"",IF(REGEXMATCH(UPPER(P4),""PBS""),""PBS"",IF(REGEXMATCH(UPPER(P4),""TRIS""),""Tris"",IF(REGEXMATCH(UPPER(P4),""HEPES""),""HEPES"",IF(RE"&amp;"GEXMATCH(UPPER(P4),""HISTIDINE""),""Histidine"",IF(REGEXMATCH(UPPER(P4),""SUCCINATE""),""Succinate"",IF(REGEXMATCH(UPPER(P4),""GLYCINE""),""Glycine"",P4)))))))))"),"Sodium Acetate")</f>
        <v>Sodium Acetate</v>
      </c>
      <c r="R4" s="25" t="s">
        <v>55</v>
      </c>
      <c r="S4" s="26">
        <v>25</v>
      </c>
      <c r="T4" s="21">
        <v>3</v>
      </c>
      <c r="U4" s="21">
        <v>16</v>
      </c>
      <c r="V4" s="23" t="s">
        <v>56</v>
      </c>
      <c r="W4" s="27" t="s">
        <v>57</v>
      </c>
      <c r="X4" s="28"/>
      <c r="Y4" s="28"/>
      <c r="Z4" s="27" t="s">
        <v>58</v>
      </c>
      <c r="AA4" s="29">
        <v>6.09</v>
      </c>
      <c r="AB4" s="30" t="s">
        <v>59</v>
      </c>
    </row>
    <row r="5" spans="1:28" ht="18" customHeight="1">
      <c r="A5" s="18">
        <v>2</v>
      </c>
      <c r="B5" s="19" t="s">
        <v>46</v>
      </c>
      <c r="C5" s="18" t="s">
        <v>47</v>
      </c>
      <c r="D5" s="18">
        <v>2022</v>
      </c>
      <c r="E5" s="31" t="s">
        <v>48</v>
      </c>
      <c r="F5" s="32">
        <v>45</v>
      </c>
      <c r="G5" s="32" t="s">
        <v>49</v>
      </c>
      <c r="H5" s="33">
        <v>46280</v>
      </c>
      <c r="I5" s="34" t="s">
        <v>50</v>
      </c>
      <c r="J5" s="24" t="s">
        <v>51</v>
      </c>
      <c r="K5" s="34" t="s">
        <v>52</v>
      </c>
      <c r="L5" s="32">
        <v>25</v>
      </c>
      <c r="M5" s="32" t="s">
        <v>60</v>
      </c>
      <c r="N5" s="32">
        <v>100</v>
      </c>
      <c r="O5" s="32">
        <v>10</v>
      </c>
      <c r="P5" s="32" t="s">
        <v>54</v>
      </c>
      <c r="Q5" s="21" t="str">
        <f ca="1">IFERROR(__xludf.DUMMYFUNCTION("IF(P5="""","""",IF(REGEXMATCH(UPPER(P5),""CITRATE""),""Citrate"",IF(REGEXMATCH(UPPER(P5),""ACETATE""),""Sodium Acetate"",IF(REGEXMATCH(UPPER(P5),""PBS""),""PBS"",IF(REGEXMATCH(UPPER(P5),""TRIS""),""Tris"",IF(REGEXMATCH(UPPER(P5),""HEPES""),""HEPES"",IF(RE"&amp;"GEXMATCH(UPPER(P5),""HISTIDINE""),""Histidine"",IF(REGEXMATCH(UPPER(P5),""SUCCINATE""),""Succinate"",IF(REGEXMATCH(UPPER(P5),""GLYCINE""),""Glycine"",P5)))))))))"),"Sodium Acetate")</f>
        <v>Sodium Acetate</v>
      </c>
      <c r="R5" s="25" t="s">
        <v>55</v>
      </c>
      <c r="S5" s="26">
        <v>25</v>
      </c>
      <c r="T5" s="32">
        <v>3</v>
      </c>
      <c r="U5" s="32">
        <v>16</v>
      </c>
      <c r="V5" s="23" t="s">
        <v>56</v>
      </c>
      <c r="W5" s="27" t="s">
        <v>61</v>
      </c>
      <c r="X5" s="28"/>
      <c r="Y5" s="28"/>
      <c r="Z5" s="27" t="s">
        <v>62</v>
      </c>
      <c r="AA5" s="29">
        <v>6.09</v>
      </c>
      <c r="AB5" s="30" t="s">
        <v>63</v>
      </c>
    </row>
    <row r="6" spans="1:28" ht="18" customHeight="1">
      <c r="A6" s="18">
        <v>3</v>
      </c>
      <c r="B6" s="19" t="s">
        <v>46</v>
      </c>
      <c r="C6" s="18" t="s">
        <v>47</v>
      </c>
      <c r="D6" s="18">
        <v>2022</v>
      </c>
      <c r="E6" s="20" t="s">
        <v>64</v>
      </c>
      <c r="F6" s="21">
        <v>45</v>
      </c>
      <c r="G6" s="21" t="s">
        <v>49</v>
      </c>
      <c r="H6" s="22">
        <v>46159</v>
      </c>
      <c r="I6" s="23" t="s">
        <v>65</v>
      </c>
      <c r="J6" s="24" t="s">
        <v>51</v>
      </c>
      <c r="K6" s="23" t="s">
        <v>52</v>
      </c>
      <c r="L6" s="21">
        <v>25</v>
      </c>
      <c r="M6" s="23" t="s">
        <v>53</v>
      </c>
      <c r="N6" s="21">
        <v>100</v>
      </c>
      <c r="O6" s="21">
        <v>10</v>
      </c>
      <c r="P6" s="21" t="s">
        <v>66</v>
      </c>
      <c r="Q6" s="21" t="str">
        <f ca="1">IFERROR(__xludf.DUMMYFUNCTION("IF(P6="""","""",IF(REGEXMATCH(UPPER(P6),""CITRATE""),""Citrate"",IF(REGEXMATCH(UPPER(P6),""ACETATE""),""Sodium Acetate"",IF(REGEXMATCH(UPPER(P6),""PBS""),""PBS"",IF(REGEXMATCH(UPPER(P6),""TRIS""),""Tris"",IF(REGEXMATCH(UPPER(P6),""HEPES""),""HEPES"",IF(RE"&amp;"GEXMATCH(UPPER(P6),""HISTIDINE""),""Histidine"",IF(REGEXMATCH(UPPER(P6),""SUCCINATE""),""Succinate"",IF(REGEXMATCH(UPPER(P6),""GLYCINE""),""Glycine"",P6)))))))))"),"Sodium Acetate")</f>
        <v>Sodium Acetate</v>
      </c>
      <c r="R6" s="25" t="s">
        <v>67</v>
      </c>
      <c r="S6" s="26">
        <v>25</v>
      </c>
      <c r="T6" s="21">
        <v>3</v>
      </c>
      <c r="U6" s="21">
        <v>16</v>
      </c>
      <c r="V6" s="23" t="s">
        <v>56</v>
      </c>
      <c r="W6" s="27" t="s">
        <v>68</v>
      </c>
      <c r="X6" s="28"/>
      <c r="Y6" s="28"/>
      <c r="Z6" s="27" t="s">
        <v>69</v>
      </c>
      <c r="AA6" s="29">
        <v>6.75</v>
      </c>
      <c r="AB6" s="30" t="s">
        <v>70</v>
      </c>
    </row>
    <row r="7" spans="1:28" ht="18" customHeight="1">
      <c r="A7" s="18">
        <v>4</v>
      </c>
      <c r="B7" s="19" t="s">
        <v>46</v>
      </c>
      <c r="C7" s="18" t="s">
        <v>47</v>
      </c>
      <c r="D7" s="18">
        <v>2022</v>
      </c>
      <c r="E7" s="31" t="s">
        <v>64</v>
      </c>
      <c r="F7" s="32">
        <v>45</v>
      </c>
      <c r="G7" s="32" t="s">
        <v>49</v>
      </c>
      <c r="H7" s="33">
        <v>46159</v>
      </c>
      <c r="I7" s="34" t="s">
        <v>65</v>
      </c>
      <c r="J7" s="24" t="s">
        <v>51</v>
      </c>
      <c r="K7" s="34" t="s">
        <v>52</v>
      </c>
      <c r="L7" s="32">
        <v>25</v>
      </c>
      <c r="M7" s="32" t="s">
        <v>60</v>
      </c>
      <c r="N7" s="32">
        <v>100</v>
      </c>
      <c r="O7" s="32">
        <v>10</v>
      </c>
      <c r="P7" s="32" t="s">
        <v>66</v>
      </c>
      <c r="Q7" s="21" t="str">
        <f ca="1">IFERROR(__xludf.DUMMYFUNCTION("IF(P7="""","""",IF(REGEXMATCH(UPPER(P7),""CITRATE""),""Citrate"",IF(REGEXMATCH(UPPER(P7),""ACETATE""),""Sodium Acetate"",IF(REGEXMATCH(UPPER(P7),""PBS""),""PBS"",IF(REGEXMATCH(UPPER(P7),""TRIS""),""Tris"",IF(REGEXMATCH(UPPER(P7),""HEPES""),""HEPES"",IF(RE"&amp;"GEXMATCH(UPPER(P7),""HISTIDINE""),""Histidine"",IF(REGEXMATCH(UPPER(P7),""SUCCINATE""),""Succinate"",IF(REGEXMATCH(UPPER(P7),""GLYCINE""),""Glycine"",P7)))))))))"),"Sodium Acetate")</f>
        <v>Sodium Acetate</v>
      </c>
      <c r="R7" s="25" t="s">
        <v>67</v>
      </c>
      <c r="S7" s="26">
        <v>25</v>
      </c>
      <c r="T7" s="32">
        <v>3</v>
      </c>
      <c r="U7" s="32">
        <v>16</v>
      </c>
      <c r="V7" s="23" t="s">
        <v>56</v>
      </c>
      <c r="W7" s="27" t="s">
        <v>71</v>
      </c>
      <c r="X7" s="28"/>
      <c r="Y7" s="28"/>
      <c r="Z7" s="35">
        <v>82</v>
      </c>
      <c r="AA7" s="29">
        <v>6.75</v>
      </c>
      <c r="AB7" s="30" t="s">
        <v>72</v>
      </c>
    </row>
    <row r="8" spans="1:28" ht="18" customHeight="1">
      <c r="A8" s="18">
        <v>5</v>
      </c>
      <c r="B8" s="19" t="s">
        <v>46</v>
      </c>
      <c r="C8" s="18" t="s">
        <v>47</v>
      </c>
      <c r="D8" s="18">
        <v>2022</v>
      </c>
      <c r="E8" s="20" t="s">
        <v>48</v>
      </c>
      <c r="F8" s="21">
        <v>35</v>
      </c>
      <c r="G8" s="21" t="s">
        <v>49</v>
      </c>
      <c r="H8" s="22">
        <v>46159</v>
      </c>
      <c r="I8" s="23" t="s">
        <v>73</v>
      </c>
      <c r="J8" s="24" t="s">
        <v>51</v>
      </c>
      <c r="K8" s="23" t="s">
        <v>52</v>
      </c>
      <c r="L8" s="21">
        <v>25</v>
      </c>
      <c r="M8" s="23" t="s">
        <v>53</v>
      </c>
      <c r="N8" s="21">
        <v>100</v>
      </c>
      <c r="O8" s="21">
        <v>10</v>
      </c>
      <c r="P8" s="21" t="s">
        <v>74</v>
      </c>
      <c r="Q8" s="21" t="str">
        <f ca="1">IFERROR(__xludf.DUMMYFUNCTION("IF(P8="""","""",IF(REGEXMATCH(UPPER(P8),""CITRATE""),""Citrate"",IF(REGEXMATCH(UPPER(P8),""ACETATE""),""Sodium Acetate"",IF(REGEXMATCH(UPPER(P8),""PBS""),""PBS"",IF(REGEXMATCH(UPPER(P8),""TRIS""),""Tris"",IF(REGEXMATCH(UPPER(P8),""HEPES""),""HEPES"",IF(RE"&amp;"GEXMATCH(UPPER(P8),""HISTIDINE""),""Histidine"",IF(REGEXMATCH(UPPER(P8),""SUCCINATE""),""Succinate"",IF(REGEXMATCH(UPPER(P8),""GLYCINE""),""Glycine"",P8)))))))))"),"Sodium Acetate")</f>
        <v>Sodium Acetate</v>
      </c>
      <c r="R8" s="25" t="s">
        <v>75</v>
      </c>
      <c r="S8" s="26">
        <v>25</v>
      </c>
      <c r="T8" s="21">
        <v>3</v>
      </c>
      <c r="U8" s="21">
        <v>16</v>
      </c>
      <c r="V8" s="23" t="s">
        <v>56</v>
      </c>
      <c r="W8" s="27" t="s">
        <v>76</v>
      </c>
      <c r="X8" s="28"/>
      <c r="Y8" s="28"/>
      <c r="Z8" s="27" t="s">
        <v>77</v>
      </c>
      <c r="AA8" s="29">
        <v>6.09</v>
      </c>
      <c r="AB8" s="30" t="s">
        <v>78</v>
      </c>
    </row>
    <row r="9" spans="1:28" ht="18" customHeight="1">
      <c r="A9" s="18">
        <v>6</v>
      </c>
      <c r="B9" s="19" t="s">
        <v>46</v>
      </c>
      <c r="C9" s="18" t="s">
        <v>47</v>
      </c>
      <c r="D9" s="18">
        <v>2022</v>
      </c>
      <c r="E9" s="20" t="s">
        <v>48</v>
      </c>
      <c r="F9" s="32">
        <v>35</v>
      </c>
      <c r="G9" s="32" t="s">
        <v>49</v>
      </c>
      <c r="H9" s="33">
        <v>46159</v>
      </c>
      <c r="I9" s="34" t="s">
        <v>73</v>
      </c>
      <c r="J9" s="24" t="s">
        <v>51</v>
      </c>
      <c r="K9" s="34" t="s">
        <v>52</v>
      </c>
      <c r="L9" s="32">
        <v>25</v>
      </c>
      <c r="M9" s="32" t="s">
        <v>60</v>
      </c>
      <c r="N9" s="32">
        <v>100</v>
      </c>
      <c r="O9" s="32">
        <v>10</v>
      </c>
      <c r="P9" s="32" t="s">
        <v>74</v>
      </c>
      <c r="Q9" s="21" t="str">
        <f ca="1">IFERROR(__xludf.DUMMYFUNCTION("IF(P9="""","""",IF(REGEXMATCH(UPPER(P9),""CITRATE""),""Citrate"",IF(REGEXMATCH(UPPER(P9),""ACETATE""),""Sodium Acetate"",IF(REGEXMATCH(UPPER(P9),""PBS""),""PBS"",IF(REGEXMATCH(UPPER(P9),""TRIS""),""Tris"",IF(REGEXMATCH(UPPER(P9),""HEPES""),""HEPES"",IF(RE"&amp;"GEXMATCH(UPPER(P9),""HISTIDINE""),""Histidine"",IF(REGEXMATCH(UPPER(P9),""SUCCINATE""),""Succinate"",IF(REGEXMATCH(UPPER(P9),""GLYCINE""),""Glycine"",P9)))))))))"),"Sodium Acetate")</f>
        <v>Sodium Acetate</v>
      </c>
      <c r="R9" s="25" t="s">
        <v>75</v>
      </c>
      <c r="S9" s="26">
        <v>25</v>
      </c>
      <c r="T9" s="32">
        <v>3</v>
      </c>
      <c r="U9" s="32">
        <v>16</v>
      </c>
      <c r="V9" s="23" t="s">
        <v>56</v>
      </c>
      <c r="W9" s="27" t="s">
        <v>79</v>
      </c>
      <c r="X9" s="28"/>
      <c r="Y9" s="28"/>
      <c r="Z9" s="27" t="s">
        <v>80</v>
      </c>
      <c r="AA9" s="29">
        <v>6.09</v>
      </c>
      <c r="AB9" s="30" t="s">
        <v>81</v>
      </c>
    </row>
    <row r="10" spans="1:28" ht="18" customHeight="1">
      <c r="A10" s="18">
        <v>7</v>
      </c>
      <c r="B10" s="19" t="s">
        <v>82</v>
      </c>
      <c r="C10" s="18" t="s">
        <v>83</v>
      </c>
      <c r="D10" s="18">
        <v>2021</v>
      </c>
      <c r="E10" s="31" t="s">
        <v>84</v>
      </c>
      <c r="F10" s="32">
        <v>50</v>
      </c>
      <c r="G10" s="32" t="s">
        <v>85</v>
      </c>
      <c r="H10" s="32">
        <v>10</v>
      </c>
      <c r="I10" s="34" t="s">
        <v>86</v>
      </c>
      <c r="J10" s="24" t="s">
        <v>51</v>
      </c>
      <c r="K10" s="33">
        <v>46143</v>
      </c>
      <c r="L10" s="32">
        <v>14.8</v>
      </c>
      <c r="M10" s="32" t="s">
        <v>53</v>
      </c>
      <c r="N10" s="36"/>
      <c r="O10" s="36"/>
      <c r="P10" s="32" t="s">
        <v>87</v>
      </c>
      <c r="Q10" s="21" t="str">
        <f ca="1">IFERROR(__xludf.DUMMYFUNCTION("IF(P10="""","""",IF(REGEXMATCH(UPPER(P10),""CITRATE""),""Citrate"",IF(REGEXMATCH(UPPER(P10),""ACETATE""),""Sodium Acetate"",IF(REGEXMATCH(UPPER(P10),""PBS""),""PBS"",IF(REGEXMATCH(UPPER(P10),""TRIS""),""Tris"",IF(REGEXMATCH(UPPER(P10),""HEPES""),""HEPES"""&amp;",IF(REGEXMATCH(UPPER(P10),""HISTIDINE""),""Histidine"",IF(REGEXMATCH(UPPER(P10),""SUCCINATE""),""Succinate"",IF(REGEXMATCH(UPPER(P10),""GLYCINE""),""Glycine"",P10)))))))))"),"Sodium Acetate")</f>
        <v>Sodium Acetate</v>
      </c>
      <c r="R10" s="25" t="s">
        <v>88</v>
      </c>
      <c r="S10" s="26">
        <v>25</v>
      </c>
      <c r="T10" s="32">
        <v>3</v>
      </c>
      <c r="U10" s="32">
        <v>12</v>
      </c>
      <c r="V10" s="23" t="s">
        <v>56</v>
      </c>
      <c r="W10" s="35">
        <v>65</v>
      </c>
      <c r="X10" s="27" t="s">
        <v>89</v>
      </c>
      <c r="Y10" s="28"/>
      <c r="Z10" s="35">
        <v>85</v>
      </c>
      <c r="AA10" s="29">
        <v>6.44</v>
      </c>
      <c r="AB10" s="30" t="s">
        <v>90</v>
      </c>
    </row>
    <row r="11" spans="1:28" ht="18" customHeight="1">
      <c r="A11" s="18">
        <v>8</v>
      </c>
      <c r="B11" s="19" t="s">
        <v>91</v>
      </c>
      <c r="C11" s="18" t="s">
        <v>92</v>
      </c>
      <c r="D11" s="18">
        <v>2024</v>
      </c>
      <c r="E11" s="20" t="s">
        <v>93</v>
      </c>
      <c r="F11" s="32"/>
      <c r="G11" s="32" t="s">
        <v>49</v>
      </c>
      <c r="H11" s="32"/>
      <c r="I11" s="32"/>
      <c r="J11" s="24" t="s">
        <v>51</v>
      </c>
      <c r="K11" s="34" t="s">
        <v>94</v>
      </c>
      <c r="L11" s="32"/>
      <c r="M11" s="32" t="s">
        <v>60</v>
      </c>
      <c r="N11" s="36"/>
      <c r="O11" s="32">
        <v>9.91</v>
      </c>
      <c r="P11" s="32" t="s">
        <v>95</v>
      </c>
      <c r="Q11" s="21" t="str">
        <f ca="1">IFERROR(__xludf.DUMMYFUNCTION("IF(P11="""","""",IF(REGEXMATCH(UPPER(P11),""CITRATE""),""Citrate"",IF(REGEXMATCH(UPPER(P11),""ACETATE""),""Sodium Acetate"",IF(REGEXMATCH(UPPER(P11),""PBS""),""PBS"",IF(REGEXMATCH(UPPER(P11),""TRIS""),""Tris"",IF(REGEXMATCH(UPPER(P11),""HEPES""),""HEPES"""&amp;",IF(REGEXMATCH(UPPER(P11),""HISTIDINE""),""Histidine"",IF(REGEXMATCH(UPPER(P11),""SUCCINATE""),""Succinate"",IF(REGEXMATCH(UPPER(P11),""GLYCINE""),""Glycine"",P11)))))))))"),"Citrate")</f>
        <v>Citrate</v>
      </c>
      <c r="R11" s="37">
        <v>46146</v>
      </c>
      <c r="S11" s="26">
        <v>100</v>
      </c>
      <c r="T11" s="32">
        <v>3.5</v>
      </c>
      <c r="U11" s="32">
        <v>19.88</v>
      </c>
      <c r="V11" s="23" t="s">
        <v>56</v>
      </c>
      <c r="W11" s="27" t="s">
        <v>96</v>
      </c>
      <c r="X11" s="27" t="s">
        <v>97</v>
      </c>
      <c r="Y11" s="27" t="s">
        <v>98</v>
      </c>
      <c r="Z11" s="27" t="s">
        <v>99</v>
      </c>
      <c r="AA11" s="29">
        <v>6.32</v>
      </c>
      <c r="AB11" s="30" t="s">
        <v>100</v>
      </c>
    </row>
    <row r="12" spans="1:28" ht="18" customHeight="1">
      <c r="A12" s="18">
        <v>9</v>
      </c>
      <c r="B12" s="19" t="s">
        <v>91</v>
      </c>
      <c r="C12" s="18" t="s">
        <v>92</v>
      </c>
      <c r="D12" s="18">
        <v>2024</v>
      </c>
      <c r="E12" s="38" t="s">
        <v>101</v>
      </c>
      <c r="F12" s="21"/>
      <c r="G12" s="21" t="s">
        <v>49</v>
      </c>
      <c r="H12" s="21"/>
      <c r="I12" s="21"/>
      <c r="J12" s="24" t="s">
        <v>51</v>
      </c>
      <c r="K12" s="21">
        <v>2</v>
      </c>
      <c r="L12" s="21"/>
      <c r="M12" s="23" t="s">
        <v>60</v>
      </c>
      <c r="N12" s="39"/>
      <c r="O12" s="21">
        <v>8</v>
      </c>
      <c r="P12" s="21" t="s">
        <v>95</v>
      </c>
      <c r="Q12" s="21" t="str">
        <f ca="1">IFERROR(__xludf.DUMMYFUNCTION("IF(P12="""","""",IF(REGEXMATCH(UPPER(P12),""CITRATE""),""Citrate"",IF(REGEXMATCH(UPPER(P12),""ACETATE""),""Sodium Acetate"",IF(REGEXMATCH(UPPER(P12),""PBS""),""PBS"",IF(REGEXMATCH(UPPER(P12),""TRIS""),""Tris"",IF(REGEXMATCH(UPPER(P12),""HEPES""),""HEPES"""&amp;",IF(REGEXMATCH(UPPER(P12),""HISTIDINE""),""Histidine"",IF(REGEXMATCH(UPPER(P12),""SUCCINATE""),""Succinate"",IF(REGEXMATCH(UPPER(P12),""GLYCINE""),""Glycine"",P12)))))))))"),"Citrate")</f>
        <v>Citrate</v>
      </c>
      <c r="R12" s="37">
        <v>46146</v>
      </c>
      <c r="S12" s="26">
        <v>100</v>
      </c>
      <c r="T12" s="21">
        <v>4</v>
      </c>
      <c r="U12" s="21">
        <v>16</v>
      </c>
      <c r="V12" s="23" t="s">
        <v>56</v>
      </c>
      <c r="W12" s="27" t="s">
        <v>102</v>
      </c>
      <c r="X12" s="27" t="s">
        <v>103</v>
      </c>
      <c r="Y12" s="27" t="s">
        <v>104</v>
      </c>
      <c r="Z12" s="27" t="s">
        <v>105</v>
      </c>
      <c r="AA12" s="29">
        <v>6.2</v>
      </c>
      <c r="AB12" s="30" t="s">
        <v>106</v>
      </c>
    </row>
    <row r="13" spans="1:28" ht="18" customHeight="1">
      <c r="A13" s="18">
        <v>10</v>
      </c>
      <c r="B13" s="40" t="s">
        <v>107</v>
      </c>
      <c r="C13" s="41" t="s">
        <v>108</v>
      </c>
      <c r="D13" s="42">
        <v>2012</v>
      </c>
      <c r="E13" s="20" t="s">
        <v>109</v>
      </c>
      <c r="F13" s="24">
        <v>45</v>
      </c>
      <c r="G13" s="24" t="s">
        <v>110</v>
      </c>
      <c r="H13" s="24">
        <v>18</v>
      </c>
      <c r="I13" s="24">
        <v>35</v>
      </c>
      <c r="J13" s="24" t="s">
        <v>51</v>
      </c>
      <c r="K13" s="24">
        <v>2</v>
      </c>
      <c r="L13" s="43"/>
      <c r="M13" s="44" t="s">
        <v>53</v>
      </c>
      <c r="N13" s="45">
        <v>100</v>
      </c>
      <c r="O13" s="44">
        <v>10</v>
      </c>
      <c r="P13" s="44" t="s">
        <v>111</v>
      </c>
      <c r="Q13" s="21" t="str">
        <f ca="1">IFERROR(__xludf.DUMMYFUNCTION("IF(P13="""","""",IF(REGEXMATCH(UPPER(P13),""CITRATE""),""Citrate"",IF(REGEXMATCH(UPPER(P13),""ACETATE""),""Sodium Acetate"",IF(REGEXMATCH(UPPER(P13),""PBS""),""PBS"",IF(REGEXMATCH(UPPER(P13),""TRIS""),""Tris"",IF(REGEXMATCH(UPPER(P13),""HEPES""),""HEPES"""&amp;",IF(REGEXMATCH(UPPER(P13),""HISTIDINE""),""Histidine"",IF(REGEXMATCH(UPPER(P13),""SUCCINATE""),""Succinate"",IF(REGEXMATCH(UPPER(P13),""GLYCINE""),""Glycine"",P13)))))))))"),"Citrate")</f>
        <v>Citrate</v>
      </c>
      <c r="R13" s="25" t="s">
        <v>88</v>
      </c>
      <c r="S13" s="26">
        <v>20</v>
      </c>
      <c r="T13" s="46"/>
      <c r="U13" s="46"/>
      <c r="V13" s="23" t="s">
        <v>56</v>
      </c>
      <c r="W13" s="29">
        <v>113</v>
      </c>
      <c r="X13" s="47" t="s">
        <v>112</v>
      </c>
      <c r="Y13" s="29" t="s">
        <v>113</v>
      </c>
      <c r="Z13" s="47" t="s">
        <v>114</v>
      </c>
      <c r="AA13" s="29"/>
      <c r="AB13" s="48" t="s">
        <v>115</v>
      </c>
    </row>
    <row r="14" spans="1:28" ht="18" customHeight="1">
      <c r="A14" s="18">
        <v>11</v>
      </c>
      <c r="B14" s="40" t="s">
        <v>107</v>
      </c>
      <c r="C14" s="41" t="s">
        <v>108</v>
      </c>
      <c r="D14" s="42">
        <v>2012</v>
      </c>
      <c r="E14" s="20" t="s">
        <v>109</v>
      </c>
      <c r="F14" s="24">
        <v>45</v>
      </c>
      <c r="G14" s="24" t="s">
        <v>116</v>
      </c>
      <c r="H14" s="24">
        <v>18</v>
      </c>
      <c r="I14" s="24">
        <v>35</v>
      </c>
      <c r="J14" s="24" t="s">
        <v>51</v>
      </c>
      <c r="K14" s="24">
        <v>2</v>
      </c>
      <c r="L14" s="43"/>
      <c r="M14" s="44" t="s">
        <v>53</v>
      </c>
      <c r="N14" s="49">
        <v>100</v>
      </c>
      <c r="O14" s="44">
        <v>10</v>
      </c>
      <c r="P14" s="44" t="s">
        <v>111</v>
      </c>
      <c r="Q14" s="21" t="str">
        <f ca="1">IFERROR(__xludf.DUMMYFUNCTION("IF(P14="""","""",IF(REGEXMATCH(UPPER(P14),""CITRATE""),""Citrate"",IF(REGEXMATCH(UPPER(P14),""ACETATE""),""Sodium Acetate"",IF(REGEXMATCH(UPPER(P14),""PBS""),""PBS"",IF(REGEXMATCH(UPPER(P14),""TRIS""),""Tris"",IF(REGEXMATCH(UPPER(P14),""HEPES""),""HEPES"""&amp;",IF(REGEXMATCH(UPPER(P14),""HISTIDINE""),""Histidine"",IF(REGEXMATCH(UPPER(P14),""SUCCINATE""),""Succinate"",IF(REGEXMATCH(UPPER(P14),""GLYCINE""),""Glycine"",P14)))))))))"),"Citrate")</f>
        <v>Citrate</v>
      </c>
      <c r="R14" s="25" t="s">
        <v>88</v>
      </c>
      <c r="S14" s="26">
        <v>20</v>
      </c>
      <c r="T14" s="46"/>
      <c r="U14" s="46"/>
      <c r="V14" s="23" t="s">
        <v>56</v>
      </c>
      <c r="W14" s="29">
        <v>125</v>
      </c>
      <c r="X14" s="47" t="s">
        <v>117</v>
      </c>
      <c r="Y14" s="29" t="s">
        <v>88</v>
      </c>
      <c r="Z14" s="47" t="s">
        <v>118</v>
      </c>
      <c r="AA14" s="29"/>
      <c r="AB14" s="48" t="s">
        <v>119</v>
      </c>
    </row>
    <row r="15" spans="1:28" ht="18" customHeight="1">
      <c r="A15" s="18">
        <v>12</v>
      </c>
      <c r="B15" s="40" t="s">
        <v>107</v>
      </c>
      <c r="C15" s="41" t="s">
        <v>108</v>
      </c>
      <c r="D15" s="42">
        <v>2012</v>
      </c>
      <c r="E15" s="31" t="s">
        <v>109</v>
      </c>
      <c r="F15" s="24">
        <v>45</v>
      </c>
      <c r="G15" s="24" t="s">
        <v>120</v>
      </c>
      <c r="H15" s="24">
        <v>18</v>
      </c>
      <c r="I15" s="24">
        <v>35</v>
      </c>
      <c r="J15" s="24" t="s">
        <v>51</v>
      </c>
      <c r="K15" s="24">
        <v>2</v>
      </c>
      <c r="L15" s="43"/>
      <c r="M15" s="44" t="s">
        <v>53</v>
      </c>
      <c r="N15" s="45">
        <v>100</v>
      </c>
      <c r="O15" s="44">
        <v>10</v>
      </c>
      <c r="P15" s="44" t="s">
        <v>111</v>
      </c>
      <c r="Q15" s="21" t="str">
        <f ca="1">IFERROR(__xludf.DUMMYFUNCTION("IF(P15="""","""",IF(REGEXMATCH(UPPER(P15),""CITRATE""),""Citrate"",IF(REGEXMATCH(UPPER(P15),""ACETATE""),""Sodium Acetate"",IF(REGEXMATCH(UPPER(P15),""PBS""),""PBS"",IF(REGEXMATCH(UPPER(P15),""TRIS""),""Tris"",IF(REGEXMATCH(UPPER(P15),""HEPES""),""HEPES"""&amp;",IF(REGEXMATCH(UPPER(P15),""HISTIDINE""),""Histidine"",IF(REGEXMATCH(UPPER(P15),""SUCCINATE""),""Succinate"",IF(REGEXMATCH(UPPER(P15),""GLYCINE""),""Glycine"",P15)))))))))"),"Citrate")</f>
        <v>Citrate</v>
      </c>
      <c r="R15" s="25" t="s">
        <v>88</v>
      </c>
      <c r="S15" s="26">
        <v>20</v>
      </c>
      <c r="T15" s="46"/>
      <c r="U15" s="46"/>
      <c r="V15" s="23" t="s">
        <v>56</v>
      </c>
      <c r="W15" s="29">
        <v>116</v>
      </c>
      <c r="X15" s="47" t="s">
        <v>121</v>
      </c>
      <c r="Y15" s="29" t="s">
        <v>122</v>
      </c>
      <c r="Z15" s="47" t="s">
        <v>123</v>
      </c>
      <c r="AA15" s="29"/>
      <c r="AB15" s="48" t="s">
        <v>124</v>
      </c>
    </row>
    <row r="16" spans="1:28" ht="18" customHeight="1">
      <c r="A16" s="18">
        <v>13</v>
      </c>
      <c r="B16" s="50" t="s">
        <v>125</v>
      </c>
      <c r="C16" s="51" t="s">
        <v>126</v>
      </c>
      <c r="D16" s="42">
        <v>2025</v>
      </c>
      <c r="E16" s="52" t="s">
        <v>64</v>
      </c>
      <c r="F16" s="24">
        <v>50</v>
      </c>
      <c r="G16" s="24" t="s">
        <v>85</v>
      </c>
      <c r="H16" s="24">
        <v>10</v>
      </c>
      <c r="I16" s="53" t="s">
        <v>86</v>
      </c>
      <c r="J16" s="24" t="s">
        <v>51</v>
      </c>
      <c r="K16" s="54">
        <v>46143</v>
      </c>
      <c r="L16" s="24">
        <v>12</v>
      </c>
      <c r="M16" s="44" t="s">
        <v>127</v>
      </c>
      <c r="N16" s="44">
        <v>100</v>
      </c>
      <c r="O16" s="55"/>
      <c r="P16" s="44" t="s">
        <v>128</v>
      </c>
      <c r="Q16" s="21" t="str">
        <f ca="1">IFERROR(__xludf.DUMMYFUNCTION("IF(P16="""","""",IF(REGEXMATCH(UPPER(P16),""CITRATE""),""Citrate"",IF(REGEXMATCH(UPPER(P16),""ACETATE""),""Sodium Acetate"",IF(REGEXMATCH(UPPER(P16),""PBS""),""PBS"",IF(REGEXMATCH(UPPER(P16),""TRIS""),""Tris"",IF(REGEXMATCH(UPPER(P16),""HEPES""),""HEPES"""&amp;",IF(REGEXMATCH(UPPER(P16),""HISTIDINE""),""Histidine"",IF(REGEXMATCH(UPPER(P16),""SUCCINATE""),""Succinate"",IF(REGEXMATCH(UPPER(P16),""GLYCINE""),""Glycine"",P16)))))))))"),"Citrate")</f>
        <v>Citrate</v>
      </c>
      <c r="R16" s="25" t="s">
        <v>88</v>
      </c>
      <c r="S16" s="56"/>
      <c r="T16" s="44">
        <v>3</v>
      </c>
      <c r="U16" s="44">
        <v>12</v>
      </c>
      <c r="V16" s="23" t="s">
        <v>56</v>
      </c>
      <c r="W16" s="47" t="s">
        <v>129</v>
      </c>
      <c r="X16" s="47" t="s">
        <v>130</v>
      </c>
      <c r="Y16" s="28"/>
      <c r="Z16" s="29">
        <v>80</v>
      </c>
      <c r="AA16" s="29"/>
      <c r="AB16" s="48" t="s">
        <v>131</v>
      </c>
    </row>
    <row r="17" spans="1:28" ht="14.4">
      <c r="A17" s="18">
        <v>14</v>
      </c>
      <c r="B17" s="40" t="s">
        <v>132</v>
      </c>
      <c r="C17" s="18" t="s">
        <v>133</v>
      </c>
      <c r="D17" s="57">
        <v>2025</v>
      </c>
      <c r="E17" s="31" t="s">
        <v>48</v>
      </c>
      <c r="F17" s="43">
        <v>50</v>
      </c>
      <c r="G17" s="43" t="s">
        <v>85</v>
      </c>
      <c r="H17" s="43">
        <v>10</v>
      </c>
      <c r="I17" s="58" t="s">
        <v>86</v>
      </c>
      <c r="J17" s="43" t="s">
        <v>134</v>
      </c>
      <c r="K17" s="59">
        <v>46143</v>
      </c>
      <c r="L17" s="43"/>
      <c r="M17" s="45" t="s">
        <v>60</v>
      </c>
      <c r="N17" s="36"/>
      <c r="O17" s="45">
        <v>15</v>
      </c>
      <c r="P17" s="44" t="s">
        <v>135</v>
      </c>
      <c r="Q17" s="21" t="str">
        <f ca="1">IFERROR(__xludf.DUMMYFUNCTION("IF(P17="""","""",IF(REGEXMATCH(UPPER(P17),""CITRATE""),""Citrate"",IF(REGEXMATCH(UPPER(P17),""ACETATE""),""Sodium Acetate"",IF(REGEXMATCH(UPPER(P17),""PBS""),""PBS"",IF(REGEXMATCH(UPPER(P17),""TRIS""),""Tris"",IF(REGEXMATCH(UPPER(P17),""HEPES""),""HEPES"""&amp;",IF(REGEXMATCH(UPPER(P17),""HISTIDINE""),""Histidine"",IF(REGEXMATCH(UPPER(P17),""SUCCINATE""),""Succinate"",IF(REGEXMATCH(UPPER(P17),""GLYCINE""),""Glycine"",P17)))))))))"),"Citrate")</f>
        <v>Citrate</v>
      </c>
      <c r="R17" s="25" t="s">
        <v>136</v>
      </c>
      <c r="S17" s="26">
        <v>100</v>
      </c>
      <c r="T17" s="45">
        <v>3</v>
      </c>
      <c r="U17" s="45">
        <v>4</v>
      </c>
      <c r="V17" s="23" t="s">
        <v>56</v>
      </c>
      <c r="W17" s="60" t="s">
        <v>137</v>
      </c>
      <c r="X17" s="60" t="s">
        <v>138</v>
      </c>
      <c r="Y17" s="60" t="s">
        <v>139</v>
      </c>
      <c r="Z17" s="60" t="s">
        <v>140</v>
      </c>
      <c r="AA17" s="29"/>
      <c r="AB17" s="61"/>
    </row>
    <row r="18" spans="1:28" ht="18" customHeight="1">
      <c r="A18" s="62">
        <v>15</v>
      </c>
      <c r="B18" s="40" t="s">
        <v>141</v>
      </c>
      <c r="C18" s="18" t="s">
        <v>126</v>
      </c>
      <c r="D18" s="42">
        <v>2025</v>
      </c>
      <c r="E18" s="20" t="s">
        <v>64</v>
      </c>
      <c r="F18" s="63">
        <v>50</v>
      </c>
      <c r="G18" s="63" t="s">
        <v>85</v>
      </c>
      <c r="H18" s="63">
        <v>10</v>
      </c>
      <c r="I18" s="64" t="s">
        <v>86</v>
      </c>
      <c r="J18" s="24" t="s">
        <v>51</v>
      </c>
      <c r="K18" s="65">
        <v>46143</v>
      </c>
      <c r="L18" s="63">
        <v>12</v>
      </c>
      <c r="M18" s="63" t="s">
        <v>60</v>
      </c>
      <c r="N18" s="63">
        <v>100</v>
      </c>
      <c r="O18" s="55"/>
      <c r="P18" s="63" t="s">
        <v>142</v>
      </c>
      <c r="Q18" s="21" t="str">
        <f ca="1">IFERROR(__xludf.DUMMYFUNCTION("IF(P18="""","""",IF(REGEXMATCH(UPPER(P18),""CITRATE""),""Citrate"",IF(REGEXMATCH(UPPER(P18),""ACETATE""),""Sodium Acetate"",IF(REGEXMATCH(UPPER(P18),""PBS""),""PBS"",IF(REGEXMATCH(UPPER(P18),""TRIS""),""Tris"",IF(REGEXMATCH(UPPER(P18),""HEPES""),""HEPES"""&amp;",IF(REGEXMATCH(UPPER(P18),""HISTIDINE""),""Histidine"",IF(REGEXMATCH(UPPER(P18),""SUCCINATE""),""Succinate"",IF(REGEXMATCH(UPPER(P18),""GLYCINE""),""Glycine"",P18)))))))))"),"Citrate")</f>
        <v>Citrate</v>
      </c>
      <c r="R18" s="25"/>
      <c r="S18" s="26"/>
      <c r="T18" s="63">
        <v>3</v>
      </c>
      <c r="U18" s="63">
        <v>12</v>
      </c>
      <c r="V18" s="23" t="s">
        <v>56</v>
      </c>
      <c r="W18" s="66" t="s">
        <v>129</v>
      </c>
      <c r="X18" s="60" t="s">
        <v>130</v>
      </c>
      <c r="Y18" s="67"/>
      <c r="Z18" s="60">
        <v>80</v>
      </c>
      <c r="AA18" s="29">
        <v>6.68</v>
      </c>
      <c r="AB18" s="61" t="s">
        <v>143</v>
      </c>
    </row>
    <row r="19" spans="1:28" ht="18" customHeight="1">
      <c r="A19" s="18">
        <v>16</v>
      </c>
      <c r="B19" s="50" t="s">
        <v>144</v>
      </c>
      <c r="C19" s="41" t="s">
        <v>145</v>
      </c>
      <c r="D19" s="62">
        <v>2024</v>
      </c>
      <c r="E19" s="20" t="s">
        <v>84</v>
      </c>
      <c r="F19" s="68">
        <v>32.700000000000003</v>
      </c>
      <c r="G19" s="68" t="s">
        <v>85</v>
      </c>
      <c r="H19" s="69">
        <v>46155</v>
      </c>
      <c r="I19" s="70" t="s">
        <v>146</v>
      </c>
      <c r="J19" s="68" t="s">
        <v>51</v>
      </c>
      <c r="K19" s="69">
        <v>46024</v>
      </c>
      <c r="L19" s="68">
        <v>10</v>
      </c>
      <c r="M19" s="71" t="s">
        <v>147</v>
      </c>
      <c r="N19" s="36"/>
      <c r="O19" s="72">
        <v>1</v>
      </c>
      <c r="P19" s="73" t="s">
        <v>148</v>
      </c>
      <c r="Q19" s="21" t="str">
        <f ca="1">IFERROR(__xludf.DUMMYFUNCTION("IF(P19="""","""",IF(REGEXMATCH(UPPER(P19),""CITRATE""),""Citrate"",IF(REGEXMATCH(UPPER(P19),""ACETATE""),""Sodium Acetate"",IF(REGEXMATCH(UPPER(P19),""PBS""),""PBS"",IF(REGEXMATCH(UPPER(P19),""TRIS""),""Tris"",IF(REGEXMATCH(UPPER(P19),""HEPES""),""HEPES"""&amp;",IF(REGEXMATCH(UPPER(P19),""HISTIDINE""),""Histidine"",IF(REGEXMATCH(UPPER(P19),""SUCCINATE""),""Succinate"",IF(REGEXMATCH(UPPER(P19),""GLYCINE""),""Glycine"",P19)))))))))"),"Citrate")</f>
        <v>Citrate</v>
      </c>
      <c r="R19" s="25" t="s">
        <v>88</v>
      </c>
      <c r="S19" s="26">
        <v>10</v>
      </c>
      <c r="T19" s="72">
        <v>3</v>
      </c>
      <c r="U19" s="72">
        <v>12</v>
      </c>
      <c r="V19" s="23" t="s">
        <v>56</v>
      </c>
      <c r="W19" s="74">
        <v>73</v>
      </c>
      <c r="X19" s="75" t="s">
        <v>149</v>
      </c>
      <c r="Y19" s="67"/>
      <c r="Z19" s="74">
        <v>80</v>
      </c>
      <c r="AA19" s="67"/>
      <c r="AB19" s="76"/>
    </row>
    <row r="20" spans="1:28" ht="18" customHeight="1">
      <c r="A20" s="18">
        <v>17</v>
      </c>
      <c r="B20" s="50" t="s">
        <v>144</v>
      </c>
      <c r="C20" s="41" t="s">
        <v>145</v>
      </c>
      <c r="D20" s="62">
        <v>2024</v>
      </c>
      <c r="E20" s="31" t="s">
        <v>84</v>
      </c>
      <c r="F20" s="68">
        <v>32.700000000000003</v>
      </c>
      <c r="G20" s="68" t="s">
        <v>85</v>
      </c>
      <c r="H20" s="69">
        <v>46155</v>
      </c>
      <c r="I20" s="70" t="s">
        <v>146</v>
      </c>
      <c r="J20" s="68" t="s">
        <v>51</v>
      </c>
      <c r="K20" s="69">
        <v>46024</v>
      </c>
      <c r="L20" s="68">
        <v>10</v>
      </c>
      <c r="M20" s="71" t="s">
        <v>147</v>
      </c>
      <c r="N20" s="36"/>
      <c r="O20" s="77">
        <v>1</v>
      </c>
      <c r="P20" s="73" t="s">
        <v>148</v>
      </c>
      <c r="Q20" s="21" t="str">
        <f ca="1">IFERROR(__xludf.DUMMYFUNCTION("IF(P20="""","""",IF(REGEXMATCH(UPPER(P20),""CITRATE""),""Citrate"",IF(REGEXMATCH(UPPER(P20),""ACETATE""),""Sodium Acetate"",IF(REGEXMATCH(UPPER(P20),""PBS""),""PBS"",IF(REGEXMATCH(UPPER(P20),""TRIS""),""Tris"",IF(REGEXMATCH(UPPER(P20),""HEPES""),""HEPES"""&amp;",IF(REGEXMATCH(UPPER(P20),""HISTIDINE""),""Histidine"",IF(REGEXMATCH(UPPER(P20),""SUCCINATE""),""Succinate"",IF(REGEXMATCH(UPPER(P20),""GLYCINE""),""Glycine"",P20)))))))))"),"Citrate")</f>
        <v>Citrate</v>
      </c>
      <c r="R20" s="25" t="s">
        <v>88</v>
      </c>
      <c r="S20" s="26">
        <v>10</v>
      </c>
      <c r="T20" s="77">
        <v>4.5</v>
      </c>
      <c r="U20" s="77">
        <v>16.5</v>
      </c>
      <c r="V20" s="23" t="s">
        <v>56</v>
      </c>
      <c r="W20" s="74">
        <v>72</v>
      </c>
      <c r="X20" s="75" t="s">
        <v>150</v>
      </c>
      <c r="Y20" s="67"/>
      <c r="Z20" s="74">
        <v>78</v>
      </c>
      <c r="AA20" s="67"/>
      <c r="AB20" s="76"/>
    </row>
    <row r="21" spans="1:28" ht="18" customHeight="1">
      <c r="A21" s="18">
        <v>18</v>
      </c>
      <c r="B21" s="50" t="s">
        <v>144</v>
      </c>
      <c r="C21" s="41" t="s">
        <v>145</v>
      </c>
      <c r="D21" s="62">
        <v>2024</v>
      </c>
      <c r="E21" s="20" t="s">
        <v>84</v>
      </c>
      <c r="F21" s="68">
        <v>32.700000000000003</v>
      </c>
      <c r="G21" s="68" t="s">
        <v>85</v>
      </c>
      <c r="H21" s="69">
        <v>46155</v>
      </c>
      <c r="I21" s="70" t="s">
        <v>146</v>
      </c>
      <c r="J21" s="68" t="s">
        <v>51</v>
      </c>
      <c r="K21" s="69">
        <v>46024</v>
      </c>
      <c r="L21" s="68">
        <v>10</v>
      </c>
      <c r="M21" s="71" t="s">
        <v>147</v>
      </c>
      <c r="N21" s="36"/>
      <c r="O21" s="72">
        <v>1</v>
      </c>
      <c r="P21" s="73" t="s">
        <v>148</v>
      </c>
      <c r="Q21" s="21" t="str">
        <f ca="1">IFERROR(__xludf.DUMMYFUNCTION("IF(P21="""","""",IF(REGEXMATCH(UPPER(P21),""CITRATE""),""Citrate"",IF(REGEXMATCH(UPPER(P21),""ACETATE""),""Sodium Acetate"",IF(REGEXMATCH(UPPER(P21),""PBS""),""PBS"",IF(REGEXMATCH(UPPER(P21),""TRIS""),""Tris"",IF(REGEXMATCH(UPPER(P21),""HEPES""),""HEPES"""&amp;",IF(REGEXMATCH(UPPER(P21),""HISTIDINE""),""Histidine"",IF(REGEXMATCH(UPPER(P21),""SUCCINATE""),""Succinate"",IF(REGEXMATCH(UPPER(P21),""GLYCINE""),""Glycine"",P21)))))))))"),"Citrate")</f>
        <v>Citrate</v>
      </c>
      <c r="R21" s="25" t="s">
        <v>88</v>
      </c>
      <c r="S21" s="26">
        <v>10</v>
      </c>
      <c r="T21" s="72">
        <v>6</v>
      </c>
      <c r="U21" s="72">
        <v>21</v>
      </c>
      <c r="V21" s="23" t="s">
        <v>56</v>
      </c>
      <c r="W21" s="74">
        <v>64</v>
      </c>
      <c r="X21" s="75" t="s">
        <v>151</v>
      </c>
      <c r="Y21" s="67"/>
      <c r="Z21" s="74">
        <v>48</v>
      </c>
      <c r="AA21" s="67"/>
      <c r="AB21" s="76"/>
    </row>
    <row r="22" spans="1:28" ht="18" customHeight="1">
      <c r="A22" s="18">
        <v>19</v>
      </c>
      <c r="B22" s="50" t="s">
        <v>144</v>
      </c>
      <c r="C22" s="41" t="s">
        <v>145</v>
      </c>
      <c r="D22" s="62">
        <v>2024</v>
      </c>
      <c r="E22" s="31" t="s">
        <v>84</v>
      </c>
      <c r="F22" s="68">
        <v>32.700000000000003</v>
      </c>
      <c r="G22" s="68" t="s">
        <v>85</v>
      </c>
      <c r="H22" s="69">
        <v>46155</v>
      </c>
      <c r="I22" s="70" t="s">
        <v>146</v>
      </c>
      <c r="J22" s="68" t="s">
        <v>51</v>
      </c>
      <c r="K22" s="69">
        <v>46024</v>
      </c>
      <c r="L22" s="68">
        <v>10</v>
      </c>
      <c r="M22" s="71" t="s">
        <v>147</v>
      </c>
      <c r="N22" s="36"/>
      <c r="O22" s="77">
        <v>2</v>
      </c>
      <c r="P22" s="73" t="s">
        <v>148</v>
      </c>
      <c r="Q22" s="21" t="str">
        <f ca="1">IFERROR(__xludf.DUMMYFUNCTION("IF(P22="""","""",IF(REGEXMATCH(UPPER(P22),""CITRATE""),""Citrate"",IF(REGEXMATCH(UPPER(P22),""ACETATE""),""Sodium Acetate"",IF(REGEXMATCH(UPPER(P22),""PBS""),""PBS"",IF(REGEXMATCH(UPPER(P22),""TRIS""),""Tris"",IF(REGEXMATCH(UPPER(P22),""HEPES""),""HEPES"""&amp;",IF(REGEXMATCH(UPPER(P22),""HISTIDINE""),""Histidine"",IF(REGEXMATCH(UPPER(P22),""SUCCINATE""),""Succinate"",IF(REGEXMATCH(UPPER(P22),""GLYCINE""),""Glycine"",P22)))))))))"),"Citrate")</f>
        <v>Citrate</v>
      </c>
      <c r="R22" s="25" t="s">
        <v>88</v>
      </c>
      <c r="S22" s="26">
        <v>10</v>
      </c>
      <c r="T22" s="77">
        <v>3</v>
      </c>
      <c r="U22" s="77">
        <v>12</v>
      </c>
      <c r="V22" s="23" t="s">
        <v>56</v>
      </c>
      <c r="W22" s="74">
        <v>97</v>
      </c>
      <c r="X22" s="75" t="s">
        <v>152</v>
      </c>
      <c r="Y22" s="67"/>
      <c r="Z22" s="74">
        <v>90</v>
      </c>
      <c r="AA22" s="67"/>
      <c r="AB22" s="76"/>
    </row>
    <row r="23" spans="1:28" ht="18" customHeight="1">
      <c r="A23" s="18">
        <v>20</v>
      </c>
      <c r="B23" s="50" t="s">
        <v>144</v>
      </c>
      <c r="C23" s="41" t="s">
        <v>145</v>
      </c>
      <c r="D23" s="62">
        <v>2024</v>
      </c>
      <c r="E23" s="20" t="s">
        <v>84</v>
      </c>
      <c r="F23" s="68">
        <v>32.700000000000003</v>
      </c>
      <c r="G23" s="68" t="s">
        <v>85</v>
      </c>
      <c r="H23" s="69">
        <v>46155</v>
      </c>
      <c r="I23" s="70" t="s">
        <v>146</v>
      </c>
      <c r="J23" s="68" t="s">
        <v>51</v>
      </c>
      <c r="K23" s="69">
        <v>46024</v>
      </c>
      <c r="L23" s="68">
        <v>10</v>
      </c>
      <c r="M23" s="71" t="s">
        <v>147</v>
      </c>
      <c r="N23" s="36"/>
      <c r="O23" s="78">
        <v>2</v>
      </c>
      <c r="P23" s="73" t="s">
        <v>148</v>
      </c>
      <c r="Q23" s="21" t="str">
        <f ca="1">IFERROR(__xludf.DUMMYFUNCTION("IF(P23="""","""",IF(REGEXMATCH(UPPER(P23),""CITRATE""),""Citrate"",IF(REGEXMATCH(UPPER(P23),""ACETATE""),""Sodium Acetate"",IF(REGEXMATCH(UPPER(P23),""PBS""),""PBS"",IF(REGEXMATCH(UPPER(P23),""TRIS""),""Tris"",IF(REGEXMATCH(UPPER(P23),""HEPES""),""HEPES"""&amp;",IF(REGEXMATCH(UPPER(P23),""HISTIDINE""),""Histidine"",IF(REGEXMATCH(UPPER(P23),""SUCCINATE""),""Succinate"",IF(REGEXMATCH(UPPER(P23),""GLYCINE""),""Glycine"",P23)))))))))"),"Citrate")</f>
        <v>Citrate</v>
      </c>
      <c r="R23" s="25" t="s">
        <v>88</v>
      </c>
      <c r="S23" s="26">
        <v>10</v>
      </c>
      <c r="T23" s="78">
        <v>4.5</v>
      </c>
      <c r="U23" s="78">
        <v>16.5</v>
      </c>
      <c r="V23" s="23" t="s">
        <v>56</v>
      </c>
      <c r="W23" s="74">
        <v>85</v>
      </c>
      <c r="X23" s="75" t="s">
        <v>153</v>
      </c>
      <c r="Y23" s="67"/>
      <c r="Z23" s="74">
        <v>88</v>
      </c>
      <c r="AA23" s="67"/>
      <c r="AB23" s="76"/>
    </row>
    <row r="24" spans="1:28" ht="18" customHeight="1">
      <c r="A24" s="62">
        <v>21</v>
      </c>
      <c r="B24" s="50" t="s">
        <v>144</v>
      </c>
      <c r="C24" s="41" t="s">
        <v>145</v>
      </c>
      <c r="D24" s="62">
        <v>2024</v>
      </c>
      <c r="E24" s="20" t="s">
        <v>84</v>
      </c>
      <c r="F24" s="68">
        <v>32.700000000000003</v>
      </c>
      <c r="G24" s="68" t="s">
        <v>85</v>
      </c>
      <c r="H24" s="69">
        <v>46155</v>
      </c>
      <c r="I24" s="70" t="s">
        <v>146</v>
      </c>
      <c r="J24" s="68" t="s">
        <v>51</v>
      </c>
      <c r="K24" s="69">
        <v>46024</v>
      </c>
      <c r="L24" s="68">
        <v>10</v>
      </c>
      <c r="M24" s="71" t="s">
        <v>147</v>
      </c>
      <c r="N24" s="36"/>
      <c r="O24" s="44">
        <v>2</v>
      </c>
      <c r="P24" s="73" t="s">
        <v>148</v>
      </c>
      <c r="Q24" s="21" t="str">
        <f ca="1">IFERROR(__xludf.DUMMYFUNCTION("IF(P24="""","""",IF(REGEXMATCH(UPPER(P24),""CITRATE""),""Citrate"",IF(REGEXMATCH(UPPER(P24),""ACETATE""),""Sodium Acetate"",IF(REGEXMATCH(UPPER(P24),""PBS""),""PBS"",IF(REGEXMATCH(UPPER(P24),""TRIS""),""Tris"",IF(REGEXMATCH(UPPER(P24),""HEPES""),""HEPES"""&amp;",IF(REGEXMATCH(UPPER(P24),""HISTIDINE""),""Histidine"",IF(REGEXMATCH(UPPER(P24),""SUCCINATE""),""Succinate"",IF(REGEXMATCH(UPPER(P24),""GLYCINE""),""Glycine"",P24)))))))))"),"Citrate")</f>
        <v>Citrate</v>
      </c>
      <c r="R24" s="25" t="s">
        <v>88</v>
      </c>
      <c r="S24" s="26">
        <v>10</v>
      </c>
      <c r="T24" s="45">
        <v>6</v>
      </c>
      <c r="U24" s="45">
        <v>21</v>
      </c>
      <c r="V24" s="23" t="s">
        <v>56</v>
      </c>
      <c r="W24" s="29">
        <v>93</v>
      </c>
      <c r="X24" s="47" t="s">
        <v>154</v>
      </c>
      <c r="Y24" s="67"/>
      <c r="Z24" s="29">
        <v>89</v>
      </c>
      <c r="AA24" s="67"/>
      <c r="AB24" s="79"/>
    </row>
    <row r="25" spans="1:28" ht="18" customHeight="1">
      <c r="A25" s="62">
        <v>22</v>
      </c>
      <c r="B25" s="50" t="s">
        <v>144</v>
      </c>
      <c r="C25" s="41" t="s">
        <v>145</v>
      </c>
      <c r="D25" s="62">
        <v>2024</v>
      </c>
      <c r="E25" s="31" t="s">
        <v>84</v>
      </c>
      <c r="F25" s="68">
        <v>32.700000000000003</v>
      </c>
      <c r="G25" s="68" t="s">
        <v>85</v>
      </c>
      <c r="H25" s="69">
        <v>46155</v>
      </c>
      <c r="I25" s="70" t="s">
        <v>146</v>
      </c>
      <c r="J25" s="68" t="s">
        <v>51</v>
      </c>
      <c r="K25" s="69">
        <v>46024</v>
      </c>
      <c r="L25" s="68">
        <v>10</v>
      </c>
      <c r="M25" s="71" t="s">
        <v>147</v>
      </c>
      <c r="N25" s="36"/>
      <c r="O25" s="44">
        <v>6</v>
      </c>
      <c r="P25" s="73" t="s">
        <v>148</v>
      </c>
      <c r="Q25" s="21" t="str">
        <f ca="1">IFERROR(__xludf.DUMMYFUNCTION("IF(P25="""","""",IF(REGEXMATCH(UPPER(P25),""CITRATE""),""Citrate"",IF(REGEXMATCH(UPPER(P25),""ACETATE""),""Sodium Acetate"",IF(REGEXMATCH(UPPER(P25),""PBS""),""PBS"",IF(REGEXMATCH(UPPER(P25),""TRIS""),""Tris"",IF(REGEXMATCH(UPPER(P25),""HEPES""),""HEPES"""&amp;",IF(REGEXMATCH(UPPER(P25),""HISTIDINE""),""Histidine"",IF(REGEXMATCH(UPPER(P25),""SUCCINATE""),""Succinate"",IF(REGEXMATCH(UPPER(P25),""GLYCINE""),""Glycine"",P25)))))))))"),"Citrate")</f>
        <v>Citrate</v>
      </c>
      <c r="R25" s="25" t="s">
        <v>88</v>
      </c>
      <c r="S25" s="26">
        <v>10</v>
      </c>
      <c r="T25" s="45">
        <v>3</v>
      </c>
      <c r="U25" s="45">
        <v>12</v>
      </c>
      <c r="V25" s="23" t="s">
        <v>56</v>
      </c>
      <c r="W25" s="29">
        <v>65</v>
      </c>
      <c r="X25" s="47" t="s">
        <v>104</v>
      </c>
      <c r="Y25" s="67"/>
      <c r="Z25" s="29">
        <v>98</v>
      </c>
      <c r="AA25" s="67"/>
      <c r="AB25" s="79"/>
    </row>
    <row r="26" spans="1:28" ht="18" customHeight="1">
      <c r="A26" s="62">
        <v>23</v>
      </c>
      <c r="B26" s="50" t="s">
        <v>144</v>
      </c>
      <c r="C26" s="41" t="s">
        <v>145</v>
      </c>
      <c r="D26" s="62">
        <v>2024</v>
      </c>
      <c r="E26" s="20" t="s">
        <v>84</v>
      </c>
      <c r="F26" s="68">
        <v>32.700000000000003</v>
      </c>
      <c r="G26" s="68" t="s">
        <v>85</v>
      </c>
      <c r="H26" s="69">
        <v>46155</v>
      </c>
      <c r="I26" s="70" t="s">
        <v>146</v>
      </c>
      <c r="J26" s="68" t="s">
        <v>51</v>
      </c>
      <c r="K26" s="69">
        <v>46024</v>
      </c>
      <c r="L26" s="68">
        <v>10</v>
      </c>
      <c r="M26" s="71" t="s">
        <v>147</v>
      </c>
      <c r="N26" s="36"/>
      <c r="O26" s="44">
        <v>6</v>
      </c>
      <c r="P26" s="73" t="s">
        <v>148</v>
      </c>
      <c r="Q26" s="21" t="str">
        <f ca="1">IFERROR(__xludf.DUMMYFUNCTION("IF(P26="""","""",IF(REGEXMATCH(UPPER(P26),""CITRATE""),""Citrate"",IF(REGEXMATCH(UPPER(P26),""ACETATE""),""Sodium Acetate"",IF(REGEXMATCH(UPPER(P26),""PBS""),""PBS"",IF(REGEXMATCH(UPPER(P26),""TRIS""),""Tris"",IF(REGEXMATCH(UPPER(P26),""HEPES""),""HEPES"""&amp;",IF(REGEXMATCH(UPPER(P26),""HISTIDINE""),""Histidine"",IF(REGEXMATCH(UPPER(P26),""SUCCINATE""),""Succinate"",IF(REGEXMATCH(UPPER(P26),""GLYCINE""),""Glycine"",P26)))))))))"),"Citrate")</f>
        <v>Citrate</v>
      </c>
      <c r="R26" s="25" t="s">
        <v>88</v>
      </c>
      <c r="S26" s="26">
        <v>10</v>
      </c>
      <c r="T26" s="45">
        <v>4.5</v>
      </c>
      <c r="U26" s="45">
        <v>16.5</v>
      </c>
      <c r="V26" s="23" t="s">
        <v>56</v>
      </c>
      <c r="W26" s="29">
        <v>60</v>
      </c>
      <c r="X26" s="47" t="s">
        <v>155</v>
      </c>
      <c r="Y26" s="67"/>
      <c r="Z26" s="29">
        <v>94</v>
      </c>
      <c r="AA26" s="67"/>
      <c r="AB26" s="79"/>
    </row>
    <row r="27" spans="1:28" ht="18" customHeight="1">
      <c r="A27" s="62">
        <v>24</v>
      </c>
      <c r="B27" s="50" t="s">
        <v>144</v>
      </c>
      <c r="C27" s="41" t="s">
        <v>145</v>
      </c>
      <c r="D27" s="62">
        <v>2024</v>
      </c>
      <c r="E27" s="31" t="s">
        <v>84</v>
      </c>
      <c r="F27" s="68">
        <v>32.700000000000003</v>
      </c>
      <c r="G27" s="68" t="s">
        <v>85</v>
      </c>
      <c r="H27" s="69">
        <v>46155</v>
      </c>
      <c r="I27" s="70" t="s">
        <v>146</v>
      </c>
      <c r="J27" s="68" t="s">
        <v>51</v>
      </c>
      <c r="K27" s="69">
        <v>46024</v>
      </c>
      <c r="L27" s="68">
        <v>10</v>
      </c>
      <c r="M27" s="71" t="s">
        <v>147</v>
      </c>
      <c r="N27" s="36"/>
      <c r="O27" s="78">
        <v>6</v>
      </c>
      <c r="P27" s="73" t="s">
        <v>148</v>
      </c>
      <c r="Q27" s="21" t="str">
        <f ca="1">IFERROR(__xludf.DUMMYFUNCTION("IF(P27="""","""",IF(REGEXMATCH(UPPER(P27),""CITRATE""),""Citrate"",IF(REGEXMATCH(UPPER(P27),""ACETATE""),""Sodium Acetate"",IF(REGEXMATCH(UPPER(P27),""PBS""),""PBS"",IF(REGEXMATCH(UPPER(P27),""TRIS""),""Tris"",IF(REGEXMATCH(UPPER(P27),""HEPES""),""HEPES"""&amp;",IF(REGEXMATCH(UPPER(P27),""HISTIDINE""),""Histidine"",IF(REGEXMATCH(UPPER(P27),""SUCCINATE""),""Succinate"",IF(REGEXMATCH(UPPER(P27),""GLYCINE""),""Glycine"",P27)))))))))"),"Citrate")</f>
        <v>Citrate</v>
      </c>
      <c r="R27" s="25" t="s">
        <v>88</v>
      </c>
      <c r="S27" s="26">
        <v>10</v>
      </c>
      <c r="T27" s="78">
        <v>6</v>
      </c>
      <c r="U27" s="49">
        <v>21</v>
      </c>
      <c r="V27" s="23" t="s">
        <v>56</v>
      </c>
      <c r="W27" s="74">
        <v>77</v>
      </c>
      <c r="X27" s="75" t="s">
        <v>156</v>
      </c>
      <c r="Y27" s="67"/>
      <c r="Z27" s="74">
        <v>95</v>
      </c>
      <c r="AA27" s="67"/>
      <c r="AB27" s="76"/>
    </row>
    <row r="28" spans="1:28" ht="18" customHeight="1">
      <c r="A28" s="62">
        <v>25</v>
      </c>
      <c r="B28" s="80" t="s">
        <v>157</v>
      </c>
      <c r="C28" s="41" t="s">
        <v>158</v>
      </c>
      <c r="D28" s="81">
        <v>2020</v>
      </c>
      <c r="E28" s="82" t="s">
        <v>101</v>
      </c>
      <c r="F28" s="63">
        <v>40</v>
      </c>
      <c r="G28" s="63" t="s">
        <v>85</v>
      </c>
      <c r="H28" s="63">
        <v>10</v>
      </c>
      <c r="I28" s="63">
        <v>48</v>
      </c>
      <c r="J28" s="63" t="s">
        <v>51</v>
      </c>
      <c r="K28" s="63">
        <v>2</v>
      </c>
      <c r="L28" s="32"/>
      <c r="M28" s="83" t="s">
        <v>159</v>
      </c>
      <c r="N28" s="36"/>
      <c r="O28" s="49">
        <v>8</v>
      </c>
      <c r="P28" s="49" t="s">
        <v>160</v>
      </c>
      <c r="Q28" s="21" t="str">
        <f ca="1">IFERROR(__xludf.DUMMYFUNCTION("IF(P28="""","""",IF(REGEXMATCH(UPPER(P28),""CITRATE""),""Citrate"",IF(REGEXMATCH(UPPER(P28),""ACETATE""),""Sodium Acetate"",IF(REGEXMATCH(UPPER(P28),""PBS""),""PBS"",IF(REGEXMATCH(UPPER(P28),""TRIS""),""Tris"",IF(REGEXMATCH(UPPER(P28),""HEPES""),""HEPES"""&amp;",IF(REGEXMATCH(UPPER(P28),""HISTIDINE""),""Histidine"",IF(REGEXMATCH(UPPER(P28),""SUCCINATE""),""Succinate"",IF(REGEXMATCH(UPPER(P28),""GLYCINE""),""Glycine"",P28)))))))))"),"Citrate")</f>
        <v>Citrate</v>
      </c>
      <c r="R28" s="25" t="s">
        <v>67</v>
      </c>
      <c r="S28" s="26">
        <v>100</v>
      </c>
      <c r="T28" s="49">
        <v>3</v>
      </c>
      <c r="U28" s="63">
        <v>20</v>
      </c>
      <c r="V28" s="23" t="s">
        <v>56</v>
      </c>
      <c r="W28" s="60" t="s">
        <v>161</v>
      </c>
      <c r="X28" s="60" t="s">
        <v>156</v>
      </c>
      <c r="Y28" s="84">
        <v>2</v>
      </c>
      <c r="Z28" s="60" t="s">
        <v>162</v>
      </c>
      <c r="AA28" s="67"/>
      <c r="AB28" s="61" t="s">
        <v>163</v>
      </c>
    </row>
    <row r="29" spans="1:28" ht="18" customHeight="1">
      <c r="A29" s="62">
        <v>26</v>
      </c>
      <c r="B29" s="80" t="s">
        <v>157</v>
      </c>
      <c r="C29" s="41" t="s">
        <v>158</v>
      </c>
      <c r="D29" s="81">
        <v>2020</v>
      </c>
      <c r="E29" s="20" t="s">
        <v>84</v>
      </c>
      <c r="F29" s="43">
        <v>40</v>
      </c>
      <c r="G29" s="43" t="s">
        <v>85</v>
      </c>
      <c r="H29" s="43">
        <v>10</v>
      </c>
      <c r="I29" s="43">
        <v>48</v>
      </c>
      <c r="J29" s="43" t="s">
        <v>51</v>
      </c>
      <c r="K29" s="43">
        <v>2</v>
      </c>
      <c r="L29" s="32"/>
      <c r="M29" s="83" t="s">
        <v>159</v>
      </c>
      <c r="N29" s="36"/>
      <c r="O29" s="71">
        <v>8</v>
      </c>
      <c r="P29" s="49" t="s">
        <v>160</v>
      </c>
      <c r="Q29" s="21" t="str">
        <f ca="1">IFERROR(__xludf.DUMMYFUNCTION("IF(P29="""","""",IF(REGEXMATCH(UPPER(P29),""CITRATE""),""Citrate"",IF(REGEXMATCH(UPPER(P29),""ACETATE""),""Sodium Acetate"",IF(REGEXMATCH(UPPER(P29),""PBS""),""PBS"",IF(REGEXMATCH(UPPER(P29),""TRIS""),""Tris"",IF(REGEXMATCH(UPPER(P29),""HEPES""),""HEPES"""&amp;",IF(REGEXMATCH(UPPER(P29),""HISTIDINE""),""Histidine"",IF(REGEXMATCH(UPPER(P29),""SUCCINATE""),""Succinate"",IF(REGEXMATCH(UPPER(P29),""GLYCINE""),""Glycine"",P29)))))))))"),"Citrate")</f>
        <v>Citrate</v>
      </c>
      <c r="R29" s="25" t="s">
        <v>67</v>
      </c>
      <c r="S29" s="26">
        <v>100</v>
      </c>
      <c r="T29" s="45">
        <v>3</v>
      </c>
      <c r="U29" s="43">
        <v>20</v>
      </c>
      <c r="V29" s="23" t="s">
        <v>56</v>
      </c>
      <c r="W29" s="60" t="s">
        <v>164</v>
      </c>
      <c r="X29" s="60" t="s">
        <v>112</v>
      </c>
      <c r="Y29" s="84">
        <v>2</v>
      </c>
      <c r="Z29" s="60" t="s">
        <v>165</v>
      </c>
      <c r="AA29" s="67"/>
      <c r="AB29" s="61" t="s">
        <v>163</v>
      </c>
    </row>
    <row r="30" spans="1:28" ht="18" customHeight="1">
      <c r="A30" s="62">
        <v>27</v>
      </c>
      <c r="B30" s="80" t="s">
        <v>157</v>
      </c>
      <c r="C30" s="41" t="s">
        <v>158</v>
      </c>
      <c r="D30" s="81">
        <v>2020</v>
      </c>
      <c r="E30" s="31" t="s">
        <v>166</v>
      </c>
      <c r="F30" s="43">
        <v>40</v>
      </c>
      <c r="G30" s="43" t="s">
        <v>85</v>
      </c>
      <c r="H30" s="43">
        <v>10</v>
      </c>
      <c r="I30" s="43">
        <v>48</v>
      </c>
      <c r="J30" s="43" t="s">
        <v>51</v>
      </c>
      <c r="K30" s="43">
        <v>2</v>
      </c>
      <c r="L30" s="32"/>
      <c r="M30" s="83" t="s">
        <v>159</v>
      </c>
      <c r="N30" s="36"/>
      <c r="O30" s="63">
        <v>8</v>
      </c>
      <c r="P30" s="49" t="s">
        <v>160</v>
      </c>
      <c r="Q30" s="21" t="str">
        <f ca="1">IFERROR(__xludf.DUMMYFUNCTION("IF(P30="""","""",IF(REGEXMATCH(UPPER(P30),""CITRATE""),""Citrate"",IF(REGEXMATCH(UPPER(P30),""ACETATE""),""Sodium Acetate"",IF(REGEXMATCH(UPPER(P30),""PBS""),""PBS"",IF(REGEXMATCH(UPPER(P30),""TRIS""),""Tris"",IF(REGEXMATCH(UPPER(P30),""HEPES""),""HEPES"""&amp;",IF(REGEXMATCH(UPPER(P30),""HISTIDINE""),""Histidine"",IF(REGEXMATCH(UPPER(P30),""SUCCINATE""),""Succinate"",IF(REGEXMATCH(UPPER(P30),""GLYCINE""),""Glycine"",P30)))))))))"),"Citrate")</f>
        <v>Citrate</v>
      </c>
      <c r="R30" s="25" t="s">
        <v>67</v>
      </c>
      <c r="S30" s="26">
        <v>100</v>
      </c>
      <c r="T30" s="63">
        <v>3</v>
      </c>
      <c r="U30" s="63">
        <v>20</v>
      </c>
      <c r="V30" s="23" t="s">
        <v>56</v>
      </c>
      <c r="W30" s="75" t="s">
        <v>167</v>
      </c>
      <c r="X30" s="75" t="s">
        <v>168</v>
      </c>
      <c r="Y30" s="84">
        <v>2</v>
      </c>
      <c r="Z30" s="60" t="s">
        <v>169</v>
      </c>
      <c r="AA30" s="67"/>
      <c r="AB30" s="61" t="s">
        <v>163</v>
      </c>
    </row>
    <row r="31" spans="1:28" ht="18" customHeight="1">
      <c r="A31" s="62">
        <v>28</v>
      </c>
      <c r="B31" s="80" t="s">
        <v>157</v>
      </c>
      <c r="C31" s="41" t="s">
        <v>158</v>
      </c>
      <c r="D31" s="81">
        <v>2020</v>
      </c>
      <c r="E31" s="82" t="s">
        <v>101</v>
      </c>
      <c r="F31" s="63">
        <v>40</v>
      </c>
      <c r="G31" s="63" t="s">
        <v>85</v>
      </c>
      <c r="H31" s="63">
        <v>10</v>
      </c>
      <c r="I31" s="63">
        <v>48</v>
      </c>
      <c r="J31" s="63" t="s">
        <v>51</v>
      </c>
      <c r="K31" s="63">
        <v>2</v>
      </c>
      <c r="L31" s="32"/>
      <c r="M31" s="45" t="s">
        <v>170</v>
      </c>
      <c r="N31" s="36"/>
      <c r="O31" s="49">
        <v>8</v>
      </c>
      <c r="P31" s="49" t="s">
        <v>160</v>
      </c>
      <c r="Q31" s="21" t="str">
        <f ca="1">IFERROR(__xludf.DUMMYFUNCTION("IF(P31="""","""",IF(REGEXMATCH(UPPER(P31),""CITRATE""),""Citrate"",IF(REGEXMATCH(UPPER(P31),""ACETATE""),""Sodium Acetate"",IF(REGEXMATCH(UPPER(P31),""PBS""),""PBS"",IF(REGEXMATCH(UPPER(P31),""TRIS""),""Tris"",IF(REGEXMATCH(UPPER(P31),""HEPES""),""HEPES"""&amp;",IF(REGEXMATCH(UPPER(P31),""HISTIDINE""),""Histidine"",IF(REGEXMATCH(UPPER(P31),""SUCCINATE""),""Succinate"",IF(REGEXMATCH(UPPER(P31),""GLYCINE""),""Glycine"",P31)))))))))"),"Citrate")</f>
        <v>Citrate</v>
      </c>
      <c r="R31" s="25" t="s">
        <v>67</v>
      </c>
      <c r="S31" s="26">
        <v>100</v>
      </c>
      <c r="T31" s="49">
        <v>3</v>
      </c>
      <c r="U31" s="63">
        <v>20</v>
      </c>
      <c r="V31" s="23" t="s">
        <v>56</v>
      </c>
      <c r="W31" s="60" t="s">
        <v>171</v>
      </c>
      <c r="X31" s="60" t="s">
        <v>172</v>
      </c>
      <c r="Y31" s="84">
        <v>2</v>
      </c>
      <c r="Z31" s="60" t="s">
        <v>173</v>
      </c>
      <c r="AA31" s="67"/>
      <c r="AB31" s="61" t="s">
        <v>163</v>
      </c>
    </row>
    <row r="32" spans="1:28" ht="18" customHeight="1">
      <c r="A32" s="62">
        <v>29</v>
      </c>
      <c r="B32" s="80" t="s">
        <v>157</v>
      </c>
      <c r="C32" s="41" t="s">
        <v>158</v>
      </c>
      <c r="D32" s="81">
        <v>2020</v>
      </c>
      <c r="E32" s="31" t="s">
        <v>84</v>
      </c>
      <c r="F32" s="43">
        <v>40</v>
      </c>
      <c r="G32" s="43" t="s">
        <v>85</v>
      </c>
      <c r="H32" s="43">
        <v>10</v>
      </c>
      <c r="I32" s="43">
        <v>48</v>
      </c>
      <c r="J32" s="43" t="s">
        <v>51</v>
      </c>
      <c r="K32" s="43">
        <v>2</v>
      </c>
      <c r="L32" s="32"/>
      <c r="M32" s="45" t="s">
        <v>170</v>
      </c>
      <c r="N32" s="36"/>
      <c r="O32" s="71">
        <v>8</v>
      </c>
      <c r="P32" s="49" t="s">
        <v>160</v>
      </c>
      <c r="Q32" s="21" t="str">
        <f ca="1">IFERROR(__xludf.DUMMYFUNCTION("IF(P32="""","""",IF(REGEXMATCH(UPPER(P32),""CITRATE""),""Citrate"",IF(REGEXMATCH(UPPER(P32),""ACETATE""),""Sodium Acetate"",IF(REGEXMATCH(UPPER(P32),""PBS""),""PBS"",IF(REGEXMATCH(UPPER(P32),""TRIS""),""Tris"",IF(REGEXMATCH(UPPER(P32),""HEPES""),""HEPES"""&amp;",IF(REGEXMATCH(UPPER(P32),""HISTIDINE""),""Histidine"",IF(REGEXMATCH(UPPER(P32),""SUCCINATE""),""Succinate"",IF(REGEXMATCH(UPPER(P32),""GLYCINE""),""Glycine"",P32)))))))))"),"Citrate")</f>
        <v>Citrate</v>
      </c>
      <c r="R32" s="25" t="s">
        <v>67</v>
      </c>
      <c r="S32" s="26">
        <v>100</v>
      </c>
      <c r="T32" s="45">
        <v>3</v>
      </c>
      <c r="U32" s="43">
        <v>20</v>
      </c>
      <c r="V32" s="23" t="s">
        <v>56</v>
      </c>
      <c r="W32" s="60" t="s">
        <v>174</v>
      </c>
      <c r="X32" s="60" t="s">
        <v>175</v>
      </c>
      <c r="Y32" s="84">
        <v>2</v>
      </c>
      <c r="Z32" s="60" t="s">
        <v>176</v>
      </c>
      <c r="AA32" s="67"/>
      <c r="AB32" s="61" t="s">
        <v>163</v>
      </c>
    </row>
    <row r="33" spans="1:28" ht="18" customHeight="1">
      <c r="A33" s="62">
        <v>30</v>
      </c>
      <c r="B33" s="80" t="s">
        <v>157</v>
      </c>
      <c r="C33" s="41" t="s">
        <v>158</v>
      </c>
      <c r="D33" s="81">
        <v>2020</v>
      </c>
      <c r="E33" s="20" t="s">
        <v>166</v>
      </c>
      <c r="F33" s="43">
        <v>40</v>
      </c>
      <c r="G33" s="43" t="s">
        <v>85</v>
      </c>
      <c r="H33" s="43">
        <v>10</v>
      </c>
      <c r="I33" s="43">
        <v>48</v>
      </c>
      <c r="J33" s="43" t="s">
        <v>51</v>
      </c>
      <c r="K33" s="43">
        <v>2</v>
      </c>
      <c r="L33" s="32"/>
      <c r="M33" s="45" t="s">
        <v>170</v>
      </c>
      <c r="N33" s="36"/>
      <c r="O33" s="63">
        <v>8</v>
      </c>
      <c r="P33" s="49" t="s">
        <v>160</v>
      </c>
      <c r="Q33" s="21" t="str">
        <f ca="1">IFERROR(__xludf.DUMMYFUNCTION("IF(P33="""","""",IF(REGEXMATCH(UPPER(P33),""CITRATE""),""Citrate"",IF(REGEXMATCH(UPPER(P33),""ACETATE""),""Sodium Acetate"",IF(REGEXMATCH(UPPER(P33),""PBS""),""PBS"",IF(REGEXMATCH(UPPER(P33),""TRIS""),""Tris"",IF(REGEXMATCH(UPPER(P33),""HEPES""),""HEPES"""&amp;",IF(REGEXMATCH(UPPER(P33),""HISTIDINE""),""Histidine"",IF(REGEXMATCH(UPPER(P33),""SUCCINATE""),""Succinate"",IF(REGEXMATCH(UPPER(P33),""GLYCINE""),""Glycine"",P33)))))))))"),"Citrate")</f>
        <v>Citrate</v>
      </c>
      <c r="R33" s="25" t="s">
        <v>67</v>
      </c>
      <c r="S33" s="26">
        <v>100</v>
      </c>
      <c r="T33" s="63">
        <v>3</v>
      </c>
      <c r="U33" s="63">
        <v>20</v>
      </c>
      <c r="V33" s="23" t="s">
        <v>56</v>
      </c>
      <c r="W33" s="75" t="s">
        <v>177</v>
      </c>
      <c r="X33" s="60" t="s">
        <v>153</v>
      </c>
      <c r="Y33" s="84">
        <v>2</v>
      </c>
      <c r="Z33" s="60" t="s">
        <v>178</v>
      </c>
      <c r="AA33" s="67"/>
      <c r="AB33" s="61" t="s">
        <v>163</v>
      </c>
    </row>
    <row r="34" spans="1:28" ht="18" customHeight="1">
      <c r="A34" s="62">
        <v>31</v>
      </c>
      <c r="B34" s="80" t="s">
        <v>157</v>
      </c>
      <c r="C34" s="41" t="s">
        <v>158</v>
      </c>
      <c r="D34" s="81">
        <v>2020</v>
      </c>
      <c r="E34" s="82" t="s">
        <v>101</v>
      </c>
      <c r="F34" s="63">
        <v>40</v>
      </c>
      <c r="G34" s="63" t="s">
        <v>85</v>
      </c>
      <c r="H34" s="63">
        <v>10</v>
      </c>
      <c r="I34" s="63">
        <v>48</v>
      </c>
      <c r="J34" s="63" t="s">
        <v>51</v>
      </c>
      <c r="K34" s="63">
        <v>2</v>
      </c>
      <c r="L34" s="32"/>
      <c r="M34" s="49" t="s">
        <v>60</v>
      </c>
      <c r="N34" s="36"/>
      <c r="O34" s="49">
        <v>8</v>
      </c>
      <c r="P34" s="49" t="s">
        <v>160</v>
      </c>
      <c r="Q34" s="21" t="str">
        <f ca="1">IFERROR(__xludf.DUMMYFUNCTION("IF(P34="""","""",IF(REGEXMATCH(UPPER(P34),""CITRATE""),""Citrate"",IF(REGEXMATCH(UPPER(P34),""ACETATE""),""Sodium Acetate"",IF(REGEXMATCH(UPPER(P34),""PBS""),""PBS"",IF(REGEXMATCH(UPPER(P34),""TRIS""),""Tris"",IF(REGEXMATCH(UPPER(P34),""HEPES""),""HEPES"""&amp;",IF(REGEXMATCH(UPPER(P34),""HISTIDINE""),""Histidine"",IF(REGEXMATCH(UPPER(P34),""SUCCINATE""),""Succinate"",IF(REGEXMATCH(UPPER(P34),""GLYCINE""),""Glycine"",P34)))))))))"),"Citrate")</f>
        <v>Citrate</v>
      </c>
      <c r="R34" s="25" t="s">
        <v>67</v>
      </c>
      <c r="S34" s="26">
        <v>100</v>
      </c>
      <c r="T34" s="49">
        <v>3</v>
      </c>
      <c r="U34" s="63">
        <v>20</v>
      </c>
      <c r="V34" s="23" t="s">
        <v>56</v>
      </c>
      <c r="W34" s="75" t="s">
        <v>179</v>
      </c>
      <c r="X34" s="60" t="s">
        <v>180</v>
      </c>
      <c r="Y34" s="84">
        <v>2</v>
      </c>
      <c r="Z34" s="60" t="s">
        <v>181</v>
      </c>
      <c r="AA34" s="67"/>
      <c r="AB34" s="61" t="s">
        <v>163</v>
      </c>
    </row>
    <row r="35" spans="1:28" ht="18" customHeight="1">
      <c r="A35" s="62">
        <v>32</v>
      </c>
      <c r="B35" s="80" t="s">
        <v>157</v>
      </c>
      <c r="C35" s="41" t="s">
        <v>158</v>
      </c>
      <c r="D35" s="81">
        <v>2020</v>
      </c>
      <c r="E35" s="31" t="s">
        <v>84</v>
      </c>
      <c r="F35" s="43">
        <v>40</v>
      </c>
      <c r="G35" s="43" t="s">
        <v>85</v>
      </c>
      <c r="H35" s="43">
        <v>10</v>
      </c>
      <c r="I35" s="43">
        <v>48</v>
      </c>
      <c r="J35" s="43" t="s">
        <v>51</v>
      </c>
      <c r="K35" s="43">
        <v>2</v>
      </c>
      <c r="L35" s="32"/>
      <c r="M35" s="49" t="s">
        <v>60</v>
      </c>
      <c r="N35" s="36"/>
      <c r="O35" s="71">
        <v>8</v>
      </c>
      <c r="P35" s="49" t="s">
        <v>160</v>
      </c>
      <c r="Q35" s="21" t="str">
        <f ca="1">IFERROR(__xludf.DUMMYFUNCTION("IF(P35="""","""",IF(REGEXMATCH(UPPER(P35),""CITRATE""),""Citrate"",IF(REGEXMATCH(UPPER(P35),""ACETATE""),""Sodium Acetate"",IF(REGEXMATCH(UPPER(P35),""PBS""),""PBS"",IF(REGEXMATCH(UPPER(P35),""TRIS""),""Tris"",IF(REGEXMATCH(UPPER(P35),""HEPES""),""HEPES"""&amp;",IF(REGEXMATCH(UPPER(P35),""HISTIDINE""),""Histidine"",IF(REGEXMATCH(UPPER(P35),""SUCCINATE""),""Succinate"",IF(REGEXMATCH(UPPER(P35),""GLYCINE""),""Glycine"",P35)))))))))"),"Citrate")</f>
        <v>Citrate</v>
      </c>
      <c r="R35" s="25" t="s">
        <v>67</v>
      </c>
      <c r="S35" s="26">
        <v>100</v>
      </c>
      <c r="T35" s="45">
        <v>3</v>
      </c>
      <c r="U35" s="43">
        <v>20</v>
      </c>
      <c r="V35" s="23" t="s">
        <v>56</v>
      </c>
      <c r="W35" s="75" t="s">
        <v>182</v>
      </c>
      <c r="X35" s="60" t="s">
        <v>117</v>
      </c>
      <c r="Y35" s="84">
        <v>2</v>
      </c>
      <c r="Z35" s="60" t="s">
        <v>183</v>
      </c>
      <c r="AA35" s="67"/>
      <c r="AB35" s="61" t="s">
        <v>163</v>
      </c>
    </row>
    <row r="36" spans="1:28" ht="18" customHeight="1">
      <c r="A36" s="62">
        <v>33</v>
      </c>
      <c r="B36" s="80" t="s">
        <v>157</v>
      </c>
      <c r="C36" s="41" t="s">
        <v>158</v>
      </c>
      <c r="D36" s="81">
        <v>2020</v>
      </c>
      <c r="E36" s="20" t="s">
        <v>166</v>
      </c>
      <c r="F36" s="43">
        <v>40</v>
      </c>
      <c r="G36" s="43" t="s">
        <v>85</v>
      </c>
      <c r="H36" s="43">
        <v>10</v>
      </c>
      <c r="I36" s="43">
        <v>48</v>
      </c>
      <c r="J36" s="43" t="s">
        <v>51</v>
      </c>
      <c r="K36" s="43">
        <v>2</v>
      </c>
      <c r="L36" s="32"/>
      <c r="M36" s="49" t="s">
        <v>60</v>
      </c>
      <c r="N36" s="36"/>
      <c r="O36" s="63">
        <v>8</v>
      </c>
      <c r="P36" s="49" t="s">
        <v>160</v>
      </c>
      <c r="Q36" s="21" t="str">
        <f ca="1">IFERROR(__xludf.DUMMYFUNCTION("IF(P36="""","""",IF(REGEXMATCH(UPPER(P36),""CITRATE""),""Citrate"",IF(REGEXMATCH(UPPER(P36),""ACETATE""),""Sodium Acetate"",IF(REGEXMATCH(UPPER(P36),""PBS""),""PBS"",IF(REGEXMATCH(UPPER(P36),""TRIS""),""Tris"",IF(REGEXMATCH(UPPER(P36),""HEPES""),""HEPES"""&amp;",IF(REGEXMATCH(UPPER(P36),""HISTIDINE""),""Histidine"",IF(REGEXMATCH(UPPER(P36),""SUCCINATE""),""Succinate"",IF(REGEXMATCH(UPPER(P36),""GLYCINE""),""Glycine"",P36)))))))))"),"Citrate")</f>
        <v>Citrate</v>
      </c>
      <c r="R36" s="25" t="s">
        <v>67</v>
      </c>
      <c r="S36" s="26">
        <v>100</v>
      </c>
      <c r="T36" s="63">
        <v>3</v>
      </c>
      <c r="U36" s="63">
        <v>20</v>
      </c>
      <c r="V36" s="23" t="s">
        <v>56</v>
      </c>
      <c r="W36" s="60" t="s">
        <v>184</v>
      </c>
      <c r="X36" s="60" t="s">
        <v>185</v>
      </c>
      <c r="Y36" s="84">
        <v>2</v>
      </c>
      <c r="Z36" s="60" t="s">
        <v>186</v>
      </c>
      <c r="AA36" s="67"/>
      <c r="AB36" s="61" t="s">
        <v>163</v>
      </c>
    </row>
    <row r="37" spans="1:28" ht="18" customHeight="1">
      <c r="A37" s="85">
        <v>34</v>
      </c>
      <c r="B37" s="80" t="s">
        <v>187</v>
      </c>
      <c r="C37" s="41" t="s">
        <v>188</v>
      </c>
      <c r="D37" s="86">
        <v>2022</v>
      </c>
      <c r="E37" s="31" t="s">
        <v>84</v>
      </c>
      <c r="F37" s="58">
        <v>50</v>
      </c>
      <c r="G37" s="58" t="s">
        <v>189</v>
      </c>
      <c r="H37" s="59">
        <v>46152</v>
      </c>
      <c r="I37" s="58">
        <v>38</v>
      </c>
      <c r="J37" s="58" t="s">
        <v>51</v>
      </c>
      <c r="K37" s="59">
        <v>46143</v>
      </c>
      <c r="L37" s="43"/>
      <c r="M37" s="49" t="s">
        <v>60</v>
      </c>
      <c r="N37" s="43"/>
      <c r="O37" s="58">
        <v>6</v>
      </c>
      <c r="P37" s="83" t="s">
        <v>190</v>
      </c>
      <c r="Q37" s="21" t="str">
        <f ca="1">IFERROR(__xludf.DUMMYFUNCTION("IF(P37="""","""",IF(REGEXMATCH(UPPER(P37),""CITRATE""),""Citrate"",IF(REGEXMATCH(UPPER(P37),""ACETATE""),""Sodium Acetate"",IF(REGEXMATCH(UPPER(P37),""PBS""),""PBS"",IF(REGEXMATCH(UPPER(P37),""TRIS""),""Tris"",IF(REGEXMATCH(UPPER(P37),""HEPES""),""HEPES"""&amp;",IF(REGEXMATCH(UPPER(P37),""HISTIDINE""),""Histidine"",IF(REGEXMATCH(UPPER(P37),""SUCCINATE""),""Succinate"",IF(REGEXMATCH(UPPER(P37),""GLYCINE""),""Glycine"",P37)))))))))"),"Citrate")</f>
        <v>Citrate</v>
      </c>
      <c r="R37" s="25">
        <v>4.5</v>
      </c>
      <c r="S37" s="26">
        <v>150</v>
      </c>
      <c r="T37" s="58">
        <v>3</v>
      </c>
      <c r="U37" s="58">
        <v>9</v>
      </c>
      <c r="V37" s="23" t="s">
        <v>56</v>
      </c>
      <c r="W37" s="74">
        <v>101</v>
      </c>
      <c r="X37" s="60" t="s">
        <v>153</v>
      </c>
      <c r="Y37" s="75" t="s">
        <v>191</v>
      </c>
      <c r="Z37" s="84">
        <v>88</v>
      </c>
      <c r="AA37" s="87"/>
      <c r="AB37" s="88"/>
    </row>
    <row r="38" spans="1:28" ht="18" customHeight="1">
      <c r="A38" s="85">
        <v>35</v>
      </c>
      <c r="B38" s="80" t="s">
        <v>187</v>
      </c>
      <c r="C38" s="41" t="s">
        <v>192</v>
      </c>
      <c r="D38" s="86">
        <v>2022</v>
      </c>
      <c r="E38" s="20" t="s">
        <v>48</v>
      </c>
      <c r="F38" s="64">
        <v>50</v>
      </c>
      <c r="G38" s="43" t="s">
        <v>189</v>
      </c>
      <c r="H38" s="65">
        <v>46152</v>
      </c>
      <c r="I38" s="64">
        <v>38</v>
      </c>
      <c r="J38" s="58" t="s">
        <v>51</v>
      </c>
      <c r="K38" s="65">
        <v>46143</v>
      </c>
      <c r="L38" s="63"/>
      <c r="M38" s="49" t="s">
        <v>60</v>
      </c>
      <c r="N38" s="63"/>
      <c r="O38" s="64">
        <v>6</v>
      </c>
      <c r="P38" s="83" t="s">
        <v>190</v>
      </c>
      <c r="Q38" s="21" t="str">
        <f ca="1">IFERROR(__xludf.DUMMYFUNCTION("IF(P38="""","""",IF(REGEXMATCH(UPPER(P38),""CITRATE""),""Citrate"",IF(REGEXMATCH(UPPER(P38),""ACETATE""),""Sodium Acetate"",IF(REGEXMATCH(UPPER(P38),""PBS""),""PBS"",IF(REGEXMATCH(UPPER(P38),""TRIS""),""Tris"",IF(REGEXMATCH(UPPER(P38),""HEPES""),""HEPES"""&amp;",IF(REGEXMATCH(UPPER(P38),""HISTIDINE""),""Histidine"",IF(REGEXMATCH(UPPER(P38),""SUCCINATE""),""Succinate"",IF(REGEXMATCH(UPPER(P38),""GLYCINE""),""Glycine"",P38)))))))))"),"Citrate")</f>
        <v>Citrate</v>
      </c>
      <c r="R38" s="25">
        <v>4.5</v>
      </c>
      <c r="S38" s="26">
        <v>150</v>
      </c>
      <c r="T38" s="64">
        <v>3</v>
      </c>
      <c r="U38" s="64">
        <v>9</v>
      </c>
      <c r="V38" s="23" t="s">
        <v>56</v>
      </c>
      <c r="W38" s="74">
        <v>105</v>
      </c>
      <c r="X38" s="60" t="s">
        <v>152</v>
      </c>
      <c r="Y38" s="75" t="s">
        <v>193</v>
      </c>
      <c r="Z38" s="84">
        <v>78</v>
      </c>
      <c r="AA38" s="67"/>
      <c r="AB38" s="88"/>
    </row>
    <row r="39" spans="1:28" ht="18" customHeight="1">
      <c r="A39" s="85">
        <v>36</v>
      </c>
      <c r="B39" s="89" t="s">
        <v>194</v>
      </c>
      <c r="C39" s="41" t="s">
        <v>195</v>
      </c>
      <c r="D39" s="86">
        <v>2021</v>
      </c>
      <c r="E39" s="20" t="s">
        <v>196</v>
      </c>
      <c r="F39" s="58">
        <v>60</v>
      </c>
      <c r="G39" s="43" t="s">
        <v>197</v>
      </c>
      <c r="H39" s="59">
        <v>46183</v>
      </c>
      <c r="I39" s="59">
        <v>46231</v>
      </c>
      <c r="J39" s="43" t="s">
        <v>51</v>
      </c>
      <c r="K39" s="58" t="s">
        <v>198</v>
      </c>
      <c r="L39" s="43"/>
      <c r="M39" s="49" t="s">
        <v>60</v>
      </c>
      <c r="N39" s="43"/>
      <c r="O39" s="58">
        <v>23</v>
      </c>
      <c r="P39" s="58" t="s">
        <v>199</v>
      </c>
      <c r="Q39" s="21" t="str">
        <f ca="1">IFERROR(__xludf.DUMMYFUNCTION("IF(P39="""","""",IF(REGEXMATCH(UPPER(P39),""CITRATE""),""Citrate"",IF(REGEXMATCH(UPPER(P39),""ACETATE""),""Sodium Acetate"",IF(REGEXMATCH(UPPER(P39),""PBS""),""PBS"",IF(REGEXMATCH(UPPER(P39),""TRIS""),""Tris"",IF(REGEXMATCH(UPPER(P39),""HEPES""),""HEPES"""&amp;",IF(REGEXMATCH(UPPER(P39),""HISTIDINE""),""Histidine"",IF(REGEXMATCH(UPPER(P39),""SUCCINATE""),""Succinate"",IF(REGEXMATCH(UPPER(P39),""GLYCINE""),""Glycine"",P39)))))))))"),"Citrate")</f>
        <v>Citrate</v>
      </c>
      <c r="R39" s="25">
        <v>4</v>
      </c>
      <c r="S39" s="26">
        <v>50</v>
      </c>
      <c r="T39" s="64">
        <v>2</v>
      </c>
      <c r="U39" s="64">
        <v>8</v>
      </c>
      <c r="V39" s="23" t="s">
        <v>56</v>
      </c>
      <c r="W39" s="75" t="s">
        <v>200</v>
      </c>
      <c r="X39" s="75" t="s">
        <v>154</v>
      </c>
      <c r="Y39" s="74"/>
      <c r="Z39" s="75" t="s">
        <v>201</v>
      </c>
      <c r="AA39" s="87"/>
      <c r="AB39" s="90" t="s">
        <v>202</v>
      </c>
    </row>
    <row r="40" spans="1:28" ht="18" customHeight="1">
      <c r="A40" s="85">
        <v>37</v>
      </c>
      <c r="B40" s="89" t="s">
        <v>194</v>
      </c>
      <c r="C40" s="91" t="s">
        <v>203</v>
      </c>
      <c r="D40" s="86">
        <v>2021</v>
      </c>
      <c r="E40" s="31" t="s">
        <v>196</v>
      </c>
      <c r="F40" s="64">
        <v>60</v>
      </c>
      <c r="G40" s="43" t="s">
        <v>197</v>
      </c>
      <c r="H40" s="59">
        <v>46183</v>
      </c>
      <c r="I40" s="64">
        <v>28</v>
      </c>
      <c r="J40" s="43" t="s">
        <v>51</v>
      </c>
      <c r="K40" s="65">
        <v>46113</v>
      </c>
      <c r="L40" s="63"/>
      <c r="M40" s="49" t="s">
        <v>60</v>
      </c>
      <c r="N40" s="63"/>
      <c r="O40" s="64">
        <v>23</v>
      </c>
      <c r="P40" s="58" t="s">
        <v>199</v>
      </c>
      <c r="Q40" s="21" t="str">
        <f ca="1">IFERROR(__xludf.DUMMYFUNCTION("IF(P40="""","""",IF(REGEXMATCH(UPPER(P40),""CITRATE""),""Citrate"",IF(REGEXMATCH(UPPER(P40),""ACETATE""),""Sodium Acetate"",IF(REGEXMATCH(UPPER(P40),""PBS""),""PBS"",IF(REGEXMATCH(UPPER(P40),""TRIS""),""Tris"",IF(REGEXMATCH(UPPER(P40),""HEPES""),""HEPES"""&amp;",IF(REGEXMATCH(UPPER(P40),""HISTIDINE""),""Histidine"",IF(REGEXMATCH(UPPER(P40),""SUCCINATE""),""Succinate"",IF(REGEXMATCH(UPPER(P40),""GLYCINE""),""Glycine"",P40)))))))))"),"Citrate")</f>
        <v>Citrate</v>
      </c>
      <c r="R40" s="25">
        <v>4</v>
      </c>
      <c r="S40" s="26">
        <v>50</v>
      </c>
      <c r="T40" s="64">
        <v>2</v>
      </c>
      <c r="U40" s="64">
        <v>8</v>
      </c>
      <c r="V40" s="23" t="s">
        <v>56</v>
      </c>
      <c r="W40" s="75" t="s">
        <v>204</v>
      </c>
      <c r="X40" s="75" t="s">
        <v>205</v>
      </c>
      <c r="Y40" s="74"/>
      <c r="Z40" s="75" t="s">
        <v>206</v>
      </c>
      <c r="AA40" s="67"/>
      <c r="AB40" s="90" t="s">
        <v>202</v>
      </c>
    </row>
    <row r="41" spans="1:28" ht="18" customHeight="1">
      <c r="A41" s="85">
        <v>38</v>
      </c>
      <c r="B41" s="89" t="s">
        <v>194</v>
      </c>
      <c r="C41" s="41" t="s">
        <v>207</v>
      </c>
      <c r="D41" s="92">
        <v>2021</v>
      </c>
      <c r="E41" s="20" t="s">
        <v>196</v>
      </c>
      <c r="F41" s="93">
        <v>60</v>
      </c>
      <c r="G41" s="43" t="s">
        <v>49</v>
      </c>
      <c r="H41" s="59">
        <v>46183</v>
      </c>
      <c r="I41" s="94">
        <v>46231</v>
      </c>
      <c r="J41" s="43" t="s">
        <v>51</v>
      </c>
      <c r="K41" s="93" t="s">
        <v>198</v>
      </c>
      <c r="L41" s="95"/>
      <c r="M41" s="49" t="s">
        <v>60</v>
      </c>
      <c r="N41" s="96"/>
      <c r="O41" s="97">
        <v>23</v>
      </c>
      <c r="P41" s="58" t="s">
        <v>199</v>
      </c>
      <c r="Q41" s="21" t="str">
        <f ca="1">IFERROR(__xludf.DUMMYFUNCTION("IF(P41="""","""",IF(REGEXMATCH(UPPER(P41),""CITRATE""),""Citrate"",IF(REGEXMATCH(UPPER(P41),""ACETATE""),""Sodium Acetate"",IF(REGEXMATCH(UPPER(P41),""PBS""),""PBS"",IF(REGEXMATCH(UPPER(P41),""TRIS""),""Tris"",IF(REGEXMATCH(UPPER(P41),""HEPES""),""HEPES"""&amp;",IF(REGEXMATCH(UPPER(P41),""HISTIDINE""),""Histidine"",IF(REGEXMATCH(UPPER(P41),""SUCCINATE""),""Succinate"",IF(REGEXMATCH(UPPER(P41),""GLYCINE""),""Glycine"",P41)))))))))"),"Citrate")</f>
        <v>Citrate</v>
      </c>
      <c r="R41" s="25">
        <v>4</v>
      </c>
      <c r="S41" s="26">
        <v>50</v>
      </c>
      <c r="T41" s="64">
        <v>2</v>
      </c>
      <c r="U41" s="64">
        <v>8</v>
      </c>
      <c r="V41" s="23" t="s">
        <v>56</v>
      </c>
      <c r="W41" s="75" t="s">
        <v>208</v>
      </c>
      <c r="X41" s="75" t="s">
        <v>209</v>
      </c>
      <c r="Y41" s="74"/>
      <c r="Z41" s="75" t="s">
        <v>210</v>
      </c>
      <c r="AA41" s="87"/>
      <c r="AB41" s="90" t="s">
        <v>202</v>
      </c>
    </row>
    <row r="42" spans="1:28" ht="18" customHeight="1">
      <c r="A42" s="85">
        <v>39</v>
      </c>
      <c r="B42" s="89" t="s">
        <v>194</v>
      </c>
      <c r="C42" s="41" t="s">
        <v>211</v>
      </c>
      <c r="D42" s="92">
        <v>2021</v>
      </c>
      <c r="E42" s="31" t="s">
        <v>196</v>
      </c>
      <c r="F42" s="98">
        <v>60</v>
      </c>
      <c r="G42" s="43" t="s">
        <v>49</v>
      </c>
      <c r="H42" s="59">
        <v>46183</v>
      </c>
      <c r="I42" s="98">
        <v>28</v>
      </c>
      <c r="J42" s="43" t="s">
        <v>51</v>
      </c>
      <c r="K42" s="99">
        <v>46113</v>
      </c>
      <c r="L42" s="100"/>
      <c r="M42" s="49" t="s">
        <v>60</v>
      </c>
      <c r="N42" s="77"/>
      <c r="O42" s="101">
        <v>23</v>
      </c>
      <c r="P42" s="58" t="s">
        <v>199</v>
      </c>
      <c r="Q42" s="21" t="str">
        <f ca="1">IFERROR(__xludf.DUMMYFUNCTION("IF(P42="""","""",IF(REGEXMATCH(UPPER(P42),""CITRATE""),""Citrate"",IF(REGEXMATCH(UPPER(P42),""ACETATE""),""Sodium Acetate"",IF(REGEXMATCH(UPPER(P42),""PBS""),""PBS"",IF(REGEXMATCH(UPPER(P42),""TRIS""),""Tris"",IF(REGEXMATCH(UPPER(P42),""HEPES""),""HEPES"""&amp;",IF(REGEXMATCH(UPPER(P42),""HISTIDINE""),""Histidine"",IF(REGEXMATCH(UPPER(P42),""SUCCINATE""),""Succinate"",IF(REGEXMATCH(UPPER(P42),""GLYCINE""),""Glycine"",P42)))))))))"),"Citrate")</f>
        <v>Citrate</v>
      </c>
      <c r="R42" s="25">
        <v>4</v>
      </c>
      <c r="S42" s="26">
        <v>50</v>
      </c>
      <c r="T42" s="64">
        <v>2</v>
      </c>
      <c r="U42" s="64">
        <v>8</v>
      </c>
      <c r="V42" s="23" t="s">
        <v>56</v>
      </c>
      <c r="W42" s="75" t="s">
        <v>212</v>
      </c>
      <c r="X42" s="75" t="s">
        <v>213</v>
      </c>
      <c r="Y42" s="74"/>
      <c r="Z42" s="75" t="s">
        <v>214</v>
      </c>
      <c r="AA42" s="67"/>
      <c r="AB42" s="90" t="s">
        <v>202</v>
      </c>
    </row>
    <row r="43" spans="1:28" ht="18" customHeight="1">
      <c r="A43" s="85">
        <v>40</v>
      </c>
      <c r="B43" s="89" t="s">
        <v>194</v>
      </c>
      <c r="C43" s="41" t="s">
        <v>215</v>
      </c>
      <c r="D43" s="92">
        <v>2021</v>
      </c>
      <c r="E43" s="20" t="s">
        <v>216</v>
      </c>
      <c r="F43" s="102">
        <v>60</v>
      </c>
      <c r="G43" s="43" t="s">
        <v>197</v>
      </c>
      <c r="H43" s="59">
        <v>46183</v>
      </c>
      <c r="I43" s="103">
        <v>46231</v>
      </c>
      <c r="J43" s="43" t="s">
        <v>51</v>
      </c>
      <c r="K43" s="102" t="s">
        <v>198</v>
      </c>
      <c r="L43" s="104"/>
      <c r="M43" s="49" t="s">
        <v>60</v>
      </c>
      <c r="N43" s="78"/>
      <c r="O43" s="105">
        <v>23</v>
      </c>
      <c r="P43" s="58" t="s">
        <v>199</v>
      </c>
      <c r="Q43" s="21" t="str">
        <f ca="1">IFERROR(__xludf.DUMMYFUNCTION("IF(P43="""","""",IF(REGEXMATCH(UPPER(P43),""CITRATE""),""Citrate"",IF(REGEXMATCH(UPPER(P43),""ACETATE""),""Sodium Acetate"",IF(REGEXMATCH(UPPER(P43),""PBS""),""PBS"",IF(REGEXMATCH(UPPER(P43),""TRIS""),""Tris"",IF(REGEXMATCH(UPPER(P43),""HEPES""),""HEPES"""&amp;",IF(REGEXMATCH(UPPER(P43),""HISTIDINE""),""Histidine"",IF(REGEXMATCH(UPPER(P43),""SUCCINATE""),""Succinate"",IF(REGEXMATCH(UPPER(P43),""GLYCINE""),""Glycine"",P43)))))))))"),"Citrate")</f>
        <v>Citrate</v>
      </c>
      <c r="R43" s="25">
        <v>4</v>
      </c>
      <c r="S43" s="26">
        <v>50</v>
      </c>
      <c r="T43" s="64">
        <v>2</v>
      </c>
      <c r="U43" s="64">
        <v>8</v>
      </c>
      <c r="V43" s="23" t="s">
        <v>56</v>
      </c>
      <c r="W43" s="75" t="s">
        <v>217</v>
      </c>
      <c r="X43" s="75" t="s">
        <v>218</v>
      </c>
      <c r="Y43" s="74"/>
      <c r="Z43" s="75" t="s">
        <v>219</v>
      </c>
      <c r="AA43" s="87"/>
      <c r="AB43" s="90" t="s">
        <v>202</v>
      </c>
    </row>
    <row r="44" spans="1:28" ht="18" customHeight="1">
      <c r="A44" s="85">
        <v>41</v>
      </c>
      <c r="B44" s="89" t="s">
        <v>194</v>
      </c>
      <c r="C44" s="41" t="s">
        <v>220</v>
      </c>
      <c r="D44" s="92">
        <v>2021</v>
      </c>
      <c r="E44" s="20" t="s">
        <v>216</v>
      </c>
      <c r="F44" s="98">
        <v>60</v>
      </c>
      <c r="G44" s="43" t="s">
        <v>197</v>
      </c>
      <c r="H44" s="59">
        <v>46183</v>
      </c>
      <c r="I44" s="98">
        <v>28</v>
      </c>
      <c r="J44" s="43" t="s">
        <v>51</v>
      </c>
      <c r="K44" s="99">
        <v>46113</v>
      </c>
      <c r="L44" s="100"/>
      <c r="M44" s="49" t="s">
        <v>60</v>
      </c>
      <c r="N44" s="77"/>
      <c r="O44" s="101">
        <v>23</v>
      </c>
      <c r="P44" s="58" t="s">
        <v>199</v>
      </c>
      <c r="Q44" s="21" t="str">
        <f ca="1">IFERROR(__xludf.DUMMYFUNCTION("IF(P44="""","""",IF(REGEXMATCH(UPPER(P44),""CITRATE""),""Citrate"",IF(REGEXMATCH(UPPER(P44),""ACETATE""),""Sodium Acetate"",IF(REGEXMATCH(UPPER(P44),""PBS""),""PBS"",IF(REGEXMATCH(UPPER(P44),""TRIS""),""Tris"",IF(REGEXMATCH(UPPER(P44),""HEPES""),""HEPES"""&amp;",IF(REGEXMATCH(UPPER(P44),""HISTIDINE""),""Histidine"",IF(REGEXMATCH(UPPER(P44),""SUCCINATE""),""Succinate"",IF(REGEXMATCH(UPPER(P44),""GLYCINE""),""Glycine"",P44)))))))))"),"Citrate")</f>
        <v>Citrate</v>
      </c>
      <c r="R44" s="25">
        <v>4</v>
      </c>
      <c r="S44" s="26">
        <v>50</v>
      </c>
      <c r="T44" s="64">
        <v>2</v>
      </c>
      <c r="U44" s="64">
        <v>8</v>
      </c>
      <c r="V44" s="23" t="s">
        <v>56</v>
      </c>
      <c r="W44" s="75" t="s">
        <v>221</v>
      </c>
      <c r="X44" s="75" t="s">
        <v>222</v>
      </c>
      <c r="Y44" s="74"/>
      <c r="Z44" s="75" t="s">
        <v>223</v>
      </c>
      <c r="AA44" s="67"/>
      <c r="AB44" s="90" t="s">
        <v>202</v>
      </c>
    </row>
    <row r="45" spans="1:28" ht="18" customHeight="1">
      <c r="A45" s="85">
        <v>42</v>
      </c>
      <c r="B45" s="89" t="s">
        <v>194</v>
      </c>
      <c r="C45" s="41" t="s">
        <v>224</v>
      </c>
      <c r="D45" s="86">
        <v>2021</v>
      </c>
      <c r="E45" s="31" t="s">
        <v>216</v>
      </c>
      <c r="F45" s="64">
        <v>60</v>
      </c>
      <c r="G45" s="43" t="s">
        <v>49</v>
      </c>
      <c r="H45" s="59">
        <v>46183</v>
      </c>
      <c r="I45" s="65">
        <v>46231</v>
      </c>
      <c r="J45" s="43" t="s">
        <v>51</v>
      </c>
      <c r="K45" s="64" t="s">
        <v>198</v>
      </c>
      <c r="L45" s="63"/>
      <c r="M45" s="49" t="s">
        <v>60</v>
      </c>
      <c r="N45" s="63"/>
      <c r="O45" s="64">
        <v>23</v>
      </c>
      <c r="P45" s="58" t="s">
        <v>199</v>
      </c>
      <c r="Q45" s="21" t="str">
        <f ca="1">IFERROR(__xludf.DUMMYFUNCTION("IF(P45="""","""",IF(REGEXMATCH(UPPER(P45),""CITRATE""),""Citrate"",IF(REGEXMATCH(UPPER(P45),""ACETATE""),""Sodium Acetate"",IF(REGEXMATCH(UPPER(P45),""PBS""),""PBS"",IF(REGEXMATCH(UPPER(P45),""TRIS""),""Tris"",IF(REGEXMATCH(UPPER(P45),""HEPES""),""HEPES"""&amp;",IF(REGEXMATCH(UPPER(P45),""HISTIDINE""),""Histidine"",IF(REGEXMATCH(UPPER(P45),""SUCCINATE""),""Succinate"",IF(REGEXMATCH(UPPER(P45),""GLYCINE""),""Glycine"",P45)))))))))"),"Citrate")</f>
        <v>Citrate</v>
      </c>
      <c r="R45" s="25">
        <v>4</v>
      </c>
      <c r="S45" s="26">
        <v>50</v>
      </c>
      <c r="T45" s="64">
        <v>2</v>
      </c>
      <c r="U45" s="64">
        <v>8</v>
      </c>
      <c r="V45" s="23" t="s">
        <v>56</v>
      </c>
      <c r="W45" s="75" t="s">
        <v>118</v>
      </c>
      <c r="X45" s="75" t="s">
        <v>225</v>
      </c>
      <c r="Y45" s="74"/>
      <c r="Z45" s="75" t="s">
        <v>226</v>
      </c>
      <c r="AA45" s="87"/>
      <c r="AB45" s="90" t="s">
        <v>202</v>
      </c>
    </row>
    <row r="46" spans="1:28" ht="18" customHeight="1">
      <c r="A46" s="85">
        <v>43</v>
      </c>
      <c r="B46" s="89" t="s">
        <v>194</v>
      </c>
      <c r="C46" s="41" t="s">
        <v>227</v>
      </c>
      <c r="D46" s="86">
        <v>2021</v>
      </c>
      <c r="E46" s="20" t="s">
        <v>216</v>
      </c>
      <c r="F46" s="58">
        <v>60</v>
      </c>
      <c r="G46" s="43" t="s">
        <v>49</v>
      </c>
      <c r="H46" s="59">
        <v>46183</v>
      </c>
      <c r="I46" s="58">
        <v>28</v>
      </c>
      <c r="J46" s="43" t="s">
        <v>51</v>
      </c>
      <c r="K46" s="59">
        <v>46113</v>
      </c>
      <c r="L46" s="43"/>
      <c r="M46" s="49" t="s">
        <v>60</v>
      </c>
      <c r="N46" s="43"/>
      <c r="O46" s="58">
        <v>23</v>
      </c>
      <c r="P46" s="58" t="s">
        <v>199</v>
      </c>
      <c r="Q46" s="21" t="str">
        <f ca="1">IFERROR(__xludf.DUMMYFUNCTION("IF(P46="""","""",IF(REGEXMATCH(UPPER(P46),""CITRATE""),""Citrate"",IF(REGEXMATCH(UPPER(P46),""ACETATE""),""Sodium Acetate"",IF(REGEXMATCH(UPPER(P46),""PBS""),""PBS"",IF(REGEXMATCH(UPPER(P46),""TRIS""),""Tris"",IF(REGEXMATCH(UPPER(P46),""HEPES""),""HEPES"""&amp;",IF(REGEXMATCH(UPPER(P46),""HISTIDINE""),""Histidine"",IF(REGEXMATCH(UPPER(P46),""SUCCINATE""),""Succinate"",IF(REGEXMATCH(UPPER(P46),""GLYCINE""),""Glycine"",P46)))))))))"),"Citrate")</f>
        <v>Citrate</v>
      </c>
      <c r="R46" s="25">
        <v>4</v>
      </c>
      <c r="S46" s="26">
        <v>50</v>
      </c>
      <c r="T46" s="64">
        <v>2</v>
      </c>
      <c r="U46" s="64">
        <v>8</v>
      </c>
      <c r="V46" s="23" t="s">
        <v>56</v>
      </c>
      <c r="W46" s="74">
        <v>79</v>
      </c>
      <c r="X46" s="75" t="s">
        <v>228</v>
      </c>
      <c r="Y46" s="74"/>
      <c r="Z46" s="75" t="s">
        <v>229</v>
      </c>
      <c r="AA46" s="67"/>
      <c r="AB46" s="90" t="s">
        <v>202</v>
      </c>
    </row>
    <row r="47" spans="1:28" ht="18" customHeight="1">
      <c r="A47" s="85">
        <v>44</v>
      </c>
      <c r="B47" s="106" t="s">
        <v>230</v>
      </c>
      <c r="C47" s="41" t="s">
        <v>231</v>
      </c>
      <c r="D47" s="92">
        <v>2021</v>
      </c>
      <c r="E47" s="31" t="s">
        <v>84</v>
      </c>
      <c r="F47" s="64">
        <v>50</v>
      </c>
      <c r="G47" s="58" t="s">
        <v>85</v>
      </c>
      <c r="H47" s="64">
        <v>10</v>
      </c>
      <c r="I47" s="64" t="s">
        <v>86</v>
      </c>
      <c r="J47" s="43" t="s">
        <v>51</v>
      </c>
      <c r="K47" s="65">
        <v>46143</v>
      </c>
      <c r="L47" s="64">
        <v>50</v>
      </c>
      <c r="M47" s="64" t="s">
        <v>232</v>
      </c>
      <c r="N47" s="63"/>
      <c r="O47" s="63"/>
      <c r="P47" s="64" t="s">
        <v>233</v>
      </c>
      <c r="Q47" s="21" t="str">
        <f ca="1">IFERROR(__xludf.DUMMYFUNCTION("IF(P47="""","""",IF(REGEXMATCH(UPPER(P47),""CITRATE""),""Citrate"",IF(REGEXMATCH(UPPER(P47),""ACETATE""),""Sodium Acetate"",IF(REGEXMATCH(UPPER(P47),""PBS""),""PBS"",IF(REGEXMATCH(UPPER(P47),""TRIS""),""Tris"",IF(REGEXMATCH(UPPER(P47),""HEPES""),""HEPES"""&amp;",IF(REGEXMATCH(UPPER(P47),""HISTIDINE""),""Histidine"",IF(REGEXMATCH(UPPER(P47),""SUCCINATE""),""Succinate"",IF(REGEXMATCH(UPPER(P47),""GLYCINE""),""Glycine"",P47)))))))))"),"Sodium Acetate")</f>
        <v>Sodium Acetate</v>
      </c>
      <c r="R47" s="25">
        <v>4</v>
      </c>
      <c r="S47" s="26">
        <v>33.299999999999997</v>
      </c>
      <c r="T47" s="101">
        <v>3</v>
      </c>
      <c r="U47" s="77"/>
      <c r="V47" s="23" t="s">
        <v>56</v>
      </c>
      <c r="W47" s="75" t="s">
        <v>234</v>
      </c>
      <c r="X47" s="74"/>
      <c r="Y47" s="75">
        <v>22</v>
      </c>
      <c r="Z47" s="75">
        <v>85</v>
      </c>
      <c r="AA47" s="87"/>
      <c r="AB47" s="88"/>
    </row>
    <row r="48" spans="1:28" ht="18" customHeight="1">
      <c r="A48" s="85">
        <v>45</v>
      </c>
      <c r="B48" s="89" t="s">
        <v>235</v>
      </c>
      <c r="C48" s="107" t="s">
        <v>236</v>
      </c>
      <c r="D48" s="92">
        <v>2022</v>
      </c>
      <c r="E48" s="31" t="s">
        <v>84</v>
      </c>
      <c r="F48" s="64">
        <v>50</v>
      </c>
      <c r="G48" s="58" t="s">
        <v>85</v>
      </c>
      <c r="H48" s="64">
        <v>10</v>
      </c>
      <c r="I48" s="64" t="s">
        <v>86</v>
      </c>
      <c r="J48" s="58" t="s">
        <v>51</v>
      </c>
      <c r="K48" s="65">
        <v>46143</v>
      </c>
      <c r="L48" s="64"/>
      <c r="M48" s="64" t="s">
        <v>60</v>
      </c>
      <c r="N48" s="64">
        <v>140</v>
      </c>
      <c r="O48" s="64">
        <v>20</v>
      </c>
      <c r="P48" s="64" t="s">
        <v>237</v>
      </c>
      <c r="Q48" s="21" t="str">
        <f ca="1">IFERROR(__xludf.DUMMYFUNCTION("IF(P48="""","""",IF(REGEXMATCH(UPPER(P48),""CITRATE""),""Citrate"",IF(REGEXMATCH(UPPER(P48),""ACETATE""),""Sodium Acetate"",IF(REGEXMATCH(UPPER(P48),""PBS""),""PBS"",IF(REGEXMATCH(UPPER(P48),""TRIS""),""Tris"",IF(REGEXMATCH(UPPER(P48),""HEPES""),""HEPES"""&amp;",IF(REGEXMATCH(UPPER(P48),""HISTIDINE""),""Histidine"",IF(REGEXMATCH(UPPER(P48),""SUCCINATE""),""Succinate"",IF(REGEXMATCH(UPPER(P48),""GLYCINE""),""Glycine"",P48)))))))))"),"Citrate")</f>
        <v>Citrate</v>
      </c>
      <c r="R48" s="108">
        <v>3</v>
      </c>
      <c r="S48" s="26">
        <v>50</v>
      </c>
      <c r="T48" s="101">
        <v>3</v>
      </c>
      <c r="U48" s="77"/>
      <c r="V48" s="23" t="s">
        <v>56</v>
      </c>
      <c r="W48" s="75" t="s">
        <v>238</v>
      </c>
      <c r="X48" s="75" t="s">
        <v>239</v>
      </c>
      <c r="Y48" s="75" t="s">
        <v>240</v>
      </c>
      <c r="Z48" s="75">
        <v>80</v>
      </c>
      <c r="AA48" s="109">
        <v>6.27</v>
      </c>
      <c r="AB48" s="90" t="s">
        <v>202</v>
      </c>
    </row>
    <row r="49" spans="1:28" ht="18" customHeight="1">
      <c r="A49" s="85">
        <v>46</v>
      </c>
      <c r="B49" s="89" t="s">
        <v>241</v>
      </c>
      <c r="C49" s="41" t="s">
        <v>242</v>
      </c>
      <c r="D49" s="86">
        <v>2021</v>
      </c>
      <c r="E49" s="110" t="s">
        <v>93</v>
      </c>
      <c r="F49" s="64">
        <v>50</v>
      </c>
      <c r="G49" s="58" t="s">
        <v>243</v>
      </c>
      <c r="H49" s="64">
        <v>10</v>
      </c>
      <c r="I49" s="64">
        <v>39</v>
      </c>
      <c r="J49" s="58" t="s">
        <v>244</v>
      </c>
      <c r="K49" s="64">
        <v>1</v>
      </c>
      <c r="L49" s="64">
        <v>10</v>
      </c>
      <c r="M49" s="64" t="s">
        <v>53</v>
      </c>
      <c r="N49" s="63"/>
      <c r="O49" s="64"/>
      <c r="P49" s="64"/>
      <c r="Q49" s="21" t="str">
        <f ca="1">IFERROR(__xludf.DUMMYFUNCTION("IF(P49="""","""",IF(REGEXMATCH(UPPER(P49),""CITRATE""),""Citrate"",IF(REGEXMATCH(UPPER(P49),""ACETATE""),""Sodium Acetate"",IF(REGEXMATCH(UPPER(P49),""PBS""),""PBS"",IF(REGEXMATCH(UPPER(P49),""TRIS""),""Tris"",IF(REGEXMATCH(UPPER(P49),""HEPES""),""HEPES"""&amp;",IF(REGEXMATCH(UPPER(P49),""HISTIDINE""),""Histidine"",IF(REGEXMATCH(UPPER(P49),""SUCCINATE""),""Succinate"",IF(REGEXMATCH(UPPER(P49),""GLYCINE""),""Glycine"",P49)))))))))"),"")</f>
        <v/>
      </c>
      <c r="R49" s="25"/>
      <c r="S49" s="26"/>
      <c r="T49" s="101">
        <v>3</v>
      </c>
      <c r="U49" s="101">
        <v>3</v>
      </c>
      <c r="V49" s="23" t="s">
        <v>56</v>
      </c>
      <c r="W49" s="75">
        <v>25</v>
      </c>
      <c r="X49" s="75" t="s">
        <v>245</v>
      </c>
      <c r="Y49" s="75"/>
      <c r="Z49" s="75"/>
      <c r="AA49" s="87"/>
      <c r="AB49" s="90" t="s">
        <v>246</v>
      </c>
    </row>
    <row r="50" spans="1:28" ht="18" customHeight="1">
      <c r="A50" s="85">
        <v>47</v>
      </c>
      <c r="B50" s="89" t="s">
        <v>247</v>
      </c>
      <c r="C50" s="41" t="s">
        <v>248</v>
      </c>
      <c r="D50" s="86">
        <v>2020</v>
      </c>
      <c r="E50" s="110" t="s">
        <v>249</v>
      </c>
      <c r="F50" s="64">
        <v>50</v>
      </c>
      <c r="G50" s="111"/>
      <c r="H50" s="64">
        <v>0</v>
      </c>
      <c r="I50" s="64">
        <v>50</v>
      </c>
      <c r="J50" s="111" t="s">
        <v>51</v>
      </c>
      <c r="K50" s="64">
        <v>1</v>
      </c>
      <c r="L50" s="64">
        <v>8</v>
      </c>
      <c r="M50" s="64"/>
      <c r="N50" s="64">
        <v>71</v>
      </c>
      <c r="O50" s="63"/>
      <c r="P50" s="64" t="s">
        <v>250</v>
      </c>
      <c r="Q50" s="21" t="str">
        <f ca="1">IFERROR(__xludf.DUMMYFUNCTION("IF(P50="""","""",IF(REGEXMATCH(UPPER(P50),""CITRATE""),""Citrate"",IF(REGEXMATCH(UPPER(P50),""ACETATE""),""Sodium Acetate"",IF(REGEXMATCH(UPPER(P50),""PBS""),""PBS"",IF(REGEXMATCH(UPPER(P50),""TRIS""),""Tris"",IF(REGEXMATCH(UPPER(P50),""HEPES""),""HEPES"""&amp;",IF(REGEXMATCH(UPPER(P50),""HISTIDINE""),""Histidine"",IF(REGEXMATCH(UPPER(P50),""SUCCINATE""),""Succinate"",IF(REGEXMATCH(UPPER(P50),""GLYCINE""),""Glycine"",P50)))))))))"),"Sodium Acetate")</f>
        <v>Sodium Acetate</v>
      </c>
      <c r="R50" s="108">
        <v>4</v>
      </c>
      <c r="S50" s="26">
        <v>25</v>
      </c>
      <c r="T50" s="101">
        <v>3</v>
      </c>
      <c r="U50" s="101">
        <v>1.5</v>
      </c>
      <c r="V50" s="23" t="s">
        <v>56</v>
      </c>
      <c r="W50" s="75">
        <v>55</v>
      </c>
      <c r="X50" s="74"/>
      <c r="Y50" s="75"/>
      <c r="Z50" s="75"/>
      <c r="AA50" s="87"/>
      <c r="AB50" s="88"/>
    </row>
    <row r="51" spans="1:28" ht="18" customHeight="1">
      <c r="A51" s="85">
        <v>48</v>
      </c>
      <c r="B51" s="89" t="s">
        <v>247</v>
      </c>
      <c r="C51" s="41" t="s">
        <v>251</v>
      </c>
      <c r="D51" s="112">
        <v>2020</v>
      </c>
      <c r="E51" s="110" t="s">
        <v>249</v>
      </c>
      <c r="F51" s="64">
        <v>50</v>
      </c>
      <c r="G51" s="111"/>
      <c r="H51" s="64">
        <v>0</v>
      </c>
      <c r="I51" s="64">
        <v>50</v>
      </c>
      <c r="J51" s="111" t="s">
        <v>51</v>
      </c>
      <c r="K51" s="64">
        <v>3</v>
      </c>
      <c r="L51" s="64">
        <v>8</v>
      </c>
      <c r="M51" s="64"/>
      <c r="N51" s="64">
        <v>71</v>
      </c>
      <c r="O51" s="63"/>
      <c r="P51" s="64"/>
      <c r="Q51" s="21" t="str">
        <f ca="1">IFERROR(__xludf.DUMMYFUNCTION("IF(P51="""","""",IF(REGEXMATCH(UPPER(P51),""CITRATE""),""Citrate"",IF(REGEXMATCH(UPPER(P51),""ACETATE""),""Sodium Acetate"",IF(REGEXMATCH(UPPER(P51),""PBS""),""PBS"",IF(REGEXMATCH(UPPER(P51),""TRIS""),""Tris"",IF(REGEXMATCH(UPPER(P51),""HEPES""),""HEPES"""&amp;",IF(REGEXMATCH(UPPER(P51),""HISTIDINE""),""Histidine"",IF(REGEXMATCH(UPPER(P51),""SUCCINATE""),""Succinate"",IF(REGEXMATCH(UPPER(P51),""GLYCINE""),""Glycine"",P51)))))))))"),"")</f>
        <v/>
      </c>
      <c r="R51" s="25"/>
      <c r="S51" s="26"/>
      <c r="T51" s="101">
        <v>3</v>
      </c>
      <c r="U51" s="101">
        <v>1.5</v>
      </c>
      <c r="V51" s="23" t="s">
        <v>56</v>
      </c>
      <c r="W51" s="75">
        <v>35</v>
      </c>
      <c r="X51" s="74"/>
      <c r="Y51" s="75"/>
      <c r="Z51" s="75"/>
      <c r="AA51" s="87"/>
      <c r="AB51" s="88"/>
    </row>
    <row r="52" spans="1:28" ht="18" customHeight="1">
      <c r="A52" s="85">
        <v>49</v>
      </c>
      <c r="B52" s="89" t="s">
        <v>247</v>
      </c>
      <c r="C52" s="41" t="s">
        <v>252</v>
      </c>
      <c r="D52" s="112">
        <v>2020</v>
      </c>
      <c r="E52" s="110" t="s">
        <v>253</v>
      </c>
      <c r="F52" s="64">
        <v>50</v>
      </c>
      <c r="G52" s="111"/>
      <c r="H52" s="64">
        <v>0</v>
      </c>
      <c r="I52" s="64">
        <v>50</v>
      </c>
      <c r="J52" s="111" t="s">
        <v>51</v>
      </c>
      <c r="K52" s="64">
        <v>1</v>
      </c>
      <c r="L52" s="64">
        <v>8</v>
      </c>
      <c r="M52" s="64"/>
      <c r="N52" s="64">
        <v>71</v>
      </c>
      <c r="O52" s="63"/>
      <c r="P52" s="64"/>
      <c r="Q52" s="21" t="str">
        <f ca="1">IFERROR(__xludf.DUMMYFUNCTION("IF(P52="""","""",IF(REGEXMATCH(UPPER(P52),""CITRATE""),""Citrate"",IF(REGEXMATCH(UPPER(P52),""ACETATE""),""Sodium Acetate"",IF(REGEXMATCH(UPPER(P52),""PBS""),""PBS"",IF(REGEXMATCH(UPPER(P52),""TRIS""),""Tris"",IF(REGEXMATCH(UPPER(P52),""HEPES""),""HEPES"""&amp;",IF(REGEXMATCH(UPPER(P52),""HISTIDINE""),""Histidine"",IF(REGEXMATCH(UPPER(P52),""SUCCINATE""),""Succinate"",IF(REGEXMATCH(UPPER(P52),""GLYCINE""),""Glycine"",P52)))))))))"),"")</f>
        <v/>
      </c>
      <c r="R52" s="25"/>
      <c r="S52" s="26"/>
      <c r="T52" s="101">
        <v>3</v>
      </c>
      <c r="U52" s="101">
        <v>1.5</v>
      </c>
      <c r="V52" s="23" t="s">
        <v>56</v>
      </c>
      <c r="W52" s="75">
        <v>65</v>
      </c>
      <c r="X52" s="74"/>
      <c r="Y52" s="75"/>
      <c r="Z52" s="75"/>
      <c r="AA52" s="87"/>
      <c r="AB52" s="88"/>
    </row>
    <row r="53" spans="1:28" ht="18" customHeight="1">
      <c r="A53" s="85">
        <v>50</v>
      </c>
      <c r="B53" s="89" t="s">
        <v>247</v>
      </c>
      <c r="C53" s="41" t="s">
        <v>254</v>
      </c>
      <c r="D53" s="86">
        <v>2020</v>
      </c>
      <c r="E53" s="110" t="s">
        <v>253</v>
      </c>
      <c r="F53" s="64">
        <v>50</v>
      </c>
      <c r="G53" s="111"/>
      <c r="H53" s="64">
        <v>0</v>
      </c>
      <c r="I53" s="64">
        <v>50</v>
      </c>
      <c r="J53" s="111" t="s">
        <v>51</v>
      </c>
      <c r="K53" s="64">
        <v>3</v>
      </c>
      <c r="L53" s="64">
        <v>8</v>
      </c>
      <c r="M53" s="64"/>
      <c r="N53" s="64">
        <v>71</v>
      </c>
      <c r="O53" s="63"/>
      <c r="P53" s="64"/>
      <c r="Q53" s="21" t="str">
        <f ca="1">IFERROR(__xludf.DUMMYFUNCTION("IF(P53="""","""",IF(REGEXMATCH(UPPER(P53),""CITRATE""),""Citrate"",IF(REGEXMATCH(UPPER(P53),""ACETATE""),""Sodium Acetate"",IF(REGEXMATCH(UPPER(P53),""PBS""),""PBS"",IF(REGEXMATCH(UPPER(P53),""TRIS""),""Tris"",IF(REGEXMATCH(UPPER(P53),""HEPES""),""HEPES"""&amp;",IF(REGEXMATCH(UPPER(P53),""HISTIDINE""),""Histidine"",IF(REGEXMATCH(UPPER(P53),""SUCCINATE""),""Succinate"",IF(REGEXMATCH(UPPER(P53),""GLYCINE""),""Glycine"",P53)))))))))"),"")</f>
        <v/>
      </c>
      <c r="R53" s="25"/>
      <c r="S53" s="26"/>
      <c r="T53" s="101">
        <v>3</v>
      </c>
      <c r="U53" s="101">
        <v>1.5</v>
      </c>
      <c r="V53" s="23" t="s">
        <v>56</v>
      </c>
      <c r="W53" s="75">
        <v>38</v>
      </c>
      <c r="X53" s="74"/>
      <c r="Y53" s="75"/>
      <c r="Z53" s="75"/>
      <c r="AA53" s="87"/>
      <c r="AB53" s="88"/>
    </row>
    <row r="54" spans="1:28" ht="18" customHeight="1">
      <c r="A54" s="85">
        <v>51</v>
      </c>
      <c r="B54" s="80" t="s">
        <v>157</v>
      </c>
      <c r="C54" s="41" t="s">
        <v>158</v>
      </c>
      <c r="D54" s="81">
        <v>2020</v>
      </c>
      <c r="E54" s="113" t="s">
        <v>84</v>
      </c>
      <c r="F54" s="64">
        <v>78</v>
      </c>
      <c r="G54" s="111" t="s">
        <v>85</v>
      </c>
      <c r="H54" s="64">
        <v>10</v>
      </c>
      <c r="I54" s="64">
        <v>10</v>
      </c>
      <c r="J54" s="111" t="s">
        <v>51</v>
      </c>
      <c r="K54" s="64">
        <v>2</v>
      </c>
      <c r="L54" s="64"/>
      <c r="M54" s="64" t="s">
        <v>255</v>
      </c>
      <c r="N54" s="63"/>
      <c r="O54" s="64">
        <v>8</v>
      </c>
      <c r="P54" s="64" t="s">
        <v>256</v>
      </c>
      <c r="Q54" s="21" t="str">
        <f ca="1">IFERROR(__xludf.DUMMYFUNCTION("IF(P54="""","""",IF(REGEXMATCH(UPPER(P54),""CITRATE""),""Citrate"",IF(REGEXMATCH(UPPER(P54),""ACETATE""),""Sodium Acetate"",IF(REGEXMATCH(UPPER(P54),""PBS""),""PBS"",IF(REGEXMATCH(UPPER(P54),""TRIS""),""Tris"",IF(REGEXMATCH(UPPER(P54),""HEPES""),""HEPES"""&amp;",IF(REGEXMATCH(UPPER(P54),""HISTIDINE""),""Histidine"",IF(REGEXMATCH(UPPER(P54),""SUCCINATE""),""Succinate"",IF(REGEXMATCH(UPPER(P54),""GLYCINE""),""Glycine"",P54)))))))))"),"Citrate")</f>
        <v>Citrate</v>
      </c>
      <c r="R54" s="108">
        <v>6</v>
      </c>
      <c r="S54" s="26">
        <v>100</v>
      </c>
      <c r="T54" s="101">
        <v>3</v>
      </c>
      <c r="U54" s="114">
        <v>20</v>
      </c>
      <c r="V54" s="23" t="s">
        <v>56</v>
      </c>
      <c r="W54" s="75" t="s">
        <v>257</v>
      </c>
      <c r="X54" s="75" t="s">
        <v>258</v>
      </c>
      <c r="Y54" s="75" t="s">
        <v>259</v>
      </c>
      <c r="Z54" s="75"/>
      <c r="AA54" s="87"/>
      <c r="AB54" s="90" t="s">
        <v>260</v>
      </c>
    </row>
    <row r="55" spans="1:28" ht="18" customHeight="1">
      <c r="A55" s="85">
        <v>52</v>
      </c>
      <c r="B55" s="80" t="s">
        <v>157</v>
      </c>
      <c r="C55" s="41" t="s">
        <v>158</v>
      </c>
      <c r="D55" s="81">
        <v>2020</v>
      </c>
      <c r="E55" s="113" t="s">
        <v>84</v>
      </c>
      <c r="F55" s="64">
        <v>78</v>
      </c>
      <c r="G55" s="111" t="s">
        <v>85</v>
      </c>
      <c r="H55" s="64">
        <v>10</v>
      </c>
      <c r="I55" s="64">
        <v>10</v>
      </c>
      <c r="J55" s="111" t="s">
        <v>51</v>
      </c>
      <c r="K55" s="64">
        <v>2</v>
      </c>
      <c r="L55" s="64"/>
      <c r="M55" s="64" t="s">
        <v>255</v>
      </c>
      <c r="N55" s="63"/>
      <c r="O55" s="64">
        <v>8</v>
      </c>
      <c r="P55" s="64" t="s">
        <v>261</v>
      </c>
      <c r="Q55" s="21" t="str">
        <f ca="1">IFERROR(__xludf.DUMMYFUNCTION("IF(P55="""","""",IF(REGEXMATCH(UPPER(P55),""CITRATE""),""Citrate"",IF(REGEXMATCH(UPPER(P55),""ACETATE""),""Sodium Acetate"",IF(REGEXMATCH(UPPER(P55),""PBS""),""PBS"",IF(REGEXMATCH(UPPER(P55),""TRIS""),""Tris"",IF(REGEXMATCH(UPPER(P55),""HEPES""),""HEPES"""&amp;",IF(REGEXMATCH(UPPER(P55),""HISTIDINE""),""Histidine"",IF(REGEXMATCH(UPPER(P55),""SUCCINATE""),""Succinate"",IF(REGEXMATCH(UPPER(P55),""GLYCINE""),""Glycine"",P55)))))))))"),"PBS")</f>
        <v>PBS</v>
      </c>
      <c r="R55" s="108">
        <v>7.4</v>
      </c>
      <c r="S55" s="26">
        <v>10</v>
      </c>
      <c r="T55" s="101">
        <v>3</v>
      </c>
      <c r="U55" s="114">
        <v>20</v>
      </c>
      <c r="V55" s="23" t="s">
        <v>56</v>
      </c>
      <c r="W55" s="75" t="s">
        <v>262</v>
      </c>
      <c r="X55" s="75" t="s">
        <v>180</v>
      </c>
      <c r="Y55" s="75" t="s">
        <v>263</v>
      </c>
      <c r="Z55" s="75"/>
      <c r="AA55" s="87"/>
      <c r="AB55" s="90" t="s">
        <v>260</v>
      </c>
    </row>
    <row r="56" spans="1:28" ht="18" customHeight="1">
      <c r="A56" s="85">
        <v>53</v>
      </c>
      <c r="B56" s="80" t="s">
        <v>157</v>
      </c>
      <c r="C56" s="41" t="s">
        <v>158</v>
      </c>
      <c r="D56" s="81">
        <v>2020</v>
      </c>
      <c r="E56" s="113" t="s">
        <v>84</v>
      </c>
      <c r="F56" s="64">
        <v>68</v>
      </c>
      <c r="G56" s="111" t="s">
        <v>85</v>
      </c>
      <c r="H56" s="64">
        <v>10</v>
      </c>
      <c r="I56" s="64">
        <v>20</v>
      </c>
      <c r="J56" s="111" t="s">
        <v>51</v>
      </c>
      <c r="K56" s="64">
        <v>2</v>
      </c>
      <c r="L56" s="64"/>
      <c r="M56" s="64" t="s">
        <v>255</v>
      </c>
      <c r="N56" s="63"/>
      <c r="O56" s="64">
        <v>8</v>
      </c>
      <c r="P56" s="64" t="s">
        <v>256</v>
      </c>
      <c r="Q56" s="21" t="str">
        <f ca="1">IFERROR(__xludf.DUMMYFUNCTION("IF(P56="""","""",IF(REGEXMATCH(UPPER(P56),""CITRATE""),""Citrate"",IF(REGEXMATCH(UPPER(P56),""ACETATE""),""Sodium Acetate"",IF(REGEXMATCH(UPPER(P56),""PBS""),""PBS"",IF(REGEXMATCH(UPPER(P56),""TRIS""),""Tris"",IF(REGEXMATCH(UPPER(P56),""HEPES""),""HEPES"""&amp;",IF(REGEXMATCH(UPPER(P56),""HISTIDINE""),""Histidine"",IF(REGEXMATCH(UPPER(P56),""SUCCINATE""),""Succinate"",IF(REGEXMATCH(UPPER(P56),""GLYCINE""),""Glycine"",P56)))))))))"),"Citrate")</f>
        <v>Citrate</v>
      </c>
      <c r="R56" s="108">
        <v>6</v>
      </c>
      <c r="S56" s="26">
        <v>100</v>
      </c>
      <c r="T56" s="101">
        <v>3</v>
      </c>
      <c r="U56" s="114">
        <v>20</v>
      </c>
      <c r="V56" s="23" t="s">
        <v>56</v>
      </c>
      <c r="W56" s="75" t="s">
        <v>264</v>
      </c>
      <c r="X56" s="75" t="s">
        <v>258</v>
      </c>
      <c r="Y56" s="75" t="s">
        <v>265</v>
      </c>
      <c r="Z56" s="75"/>
      <c r="AA56" s="87"/>
      <c r="AB56" s="90" t="s">
        <v>260</v>
      </c>
    </row>
    <row r="57" spans="1:28" ht="18" customHeight="1">
      <c r="A57" s="85">
        <v>54</v>
      </c>
      <c r="B57" s="80" t="s">
        <v>157</v>
      </c>
      <c r="C57" s="41" t="s">
        <v>158</v>
      </c>
      <c r="D57" s="81">
        <v>2020</v>
      </c>
      <c r="E57" s="113" t="s">
        <v>84</v>
      </c>
      <c r="F57" s="64">
        <v>68</v>
      </c>
      <c r="G57" s="111" t="s">
        <v>85</v>
      </c>
      <c r="H57" s="64">
        <v>10</v>
      </c>
      <c r="I57" s="64">
        <v>20</v>
      </c>
      <c r="J57" s="111" t="s">
        <v>51</v>
      </c>
      <c r="K57" s="64">
        <v>2</v>
      </c>
      <c r="L57" s="64"/>
      <c r="M57" s="64" t="s">
        <v>255</v>
      </c>
      <c r="N57" s="63"/>
      <c r="O57" s="64">
        <v>8</v>
      </c>
      <c r="P57" s="64" t="s">
        <v>261</v>
      </c>
      <c r="Q57" s="21" t="str">
        <f ca="1">IFERROR(__xludf.DUMMYFUNCTION("IF(P57="""","""",IF(REGEXMATCH(UPPER(P57),""CITRATE""),""Citrate"",IF(REGEXMATCH(UPPER(P57),""ACETATE""),""Sodium Acetate"",IF(REGEXMATCH(UPPER(P57),""PBS""),""PBS"",IF(REGEXMATCH(UPPER(P57),""TRIS""),""Tris"",IF(REGEXMATCH(UPPER(P57),""HEPES""),""HEPES"""&amp;",IF(REGEXMATCH(UPPER(P57),""HISTIDINE""),""Histidine"",IF(REGEXMATCH(UPPER(P57),""SUCCINATE""),""Succinate"",IF(REGEXMATCH(UPPER(P57),""GLYCINE""),""Glycine"",P57)))))))))"),"PBS")</f>
        <v>PBS</v>
      </c>
      <c r="R57" s="108">
        <v>7.4</v>
      </c>
      <c r="S57" s="26">
        <v>10</v>
      </c>
      <c r="T57" s="101">
        <v>3</v>
      </c>
      <c r="U57" s="114">
        <v>20</v>
      </c>
      <c r="V57" s="23" t="s">
        <v>56</v>
      </c>
      <c r="W57" s="75" t="s">
        <v>266</v>
      </c>
      <c r="X57" s="75" t="s">
        <v>267</v>
      </c>
      <c r="Y57" s="115">
        <v>46175</v>
      </c>
      <c r="Z57" s="75"/>
      <c r="AA57" s="87"/>
      <c r="AB57" s="90" t="s">
        <v>260</v>
      </c>
    </row>
    <row r="58" spans="1:28" ht="18" customHeight="1">
      <c r="A58" s="85">
        <v>55</v>
      </c>
      <c r="B58" s="80" t="s">
        <v>157</v>
      </c>
      <c r="C58" s="41" t="s">
        <v>158</v>
      </c>
      <c r="D58" s="81">
        <v>2020</v>
      </c>
      <c r="E58" s="113" t="s">
        <v>84</v>
      </c>
      <c r="F58" s="64">
        <v>58</v>
      </c>
      <c r="G58" s="111" t="s">
        <v>85</v>
      </c>
      <c r="H58" s="64">
        <v>10</v>
      </c>
      <c r="I58" s="64">
        <v>30</v>
      </c>
      <c r="J58" s="111" t="s">
        <v>51</v>
      </c>
      <c r="K58" s="64">
        <v>2</v>
      </c>
      <c r="L58" s="64"/>
      <c r="M58" s="64" t="s">
        <v>255</v>
      </c>
      <c r="N58" s="63"/>
      <c r="O58" s="64">
        <v>8</v>
      </c>
      <c r="P58" s="64" t="s">
        <v>256</v>
      </c>
      <c r="Q58" s="21" t="str">
        <f ca="1">IFERROR(__xludf.DUMMYFUNCTION("IF(P58="""","""",IF(REGEXMATCH(UPPER(P58),""CITRATE""),""Citrate"",IF(REGEXMATCH(UPPER(P58),""ACETATE""),""Sodium Acetate"",IF(REGEXMATCH(UPPER(P58),""PBS""),""PBS"",IF(REGEXMATCH(UPPER(P58),""TRIS""),""Tris"",IF(REGEXMATCH(UPPER(P58),""HEPES""),""HEPES"""&amp;",IF(REGEXMATCH(UPPER(P58),""HISTIDINE""),""Histidine"",IF(REGEXMATCH(UPPER(P58),""SUCCINATE""),""Succinate"",IF(REGEXMATCH(UPPER(P58),""GLYCINE""),""Glycine"",P58)))))))))"),"Citrate")</f>
        <v>Citrate</v>
      </c>
      <c r="R58" s="108">
        <v>6</v>
      </c>
      <c r="S58" s="26">
        <v>100</v>
      </c>
      <c r="T58" s="101">
        <v>3</v>
      </c>
      <c r="U58" s="114">
        <v>20</v>
      </c>
      <c r="V58" s="23" t="s">
        <v>56</v>
      </c>
      <c r="W58" s="75" t="s">
        <v>268</v>
      </c>
      <c r="X58" s="75" t="s">
        <v>121</v>
      </c>
      <c r="Y58" s="75" t="s">
        <v>269</v>
      </c>
      <c r="Z58" s="75"/>
      <c r="AA58" s="87"/>
      <c r="AB58" s="90" t="s">
        <v>260</v>
      </c>
    </row>
    <row r="59" spans="1:28" ht="18" customHeight="1">
      <c r="A59" s="85">
        <v>56</v>
      </c>
      <c r="B59" s="80" t="s">
        <v>157</v>
      </c>
      <c r="C59" s="41" t="s">
        <v>158</v>
      </c>
      <c r="D59" s="81">
        <v>2020</v>
      </c>
      <c r="E59" s="113" t="s">
        <v>84</v>
      </c>
      <c r="F59" s="64">
        <v>58</v>
      </c>
      <c r="G59" s="111" t="s">
        <v>85</v>
      </c>
      <c r="H59" s="64">
        <v>10</v>
      </c>
      <c r="I59" s="64">
        <v>30</v>
      </c>
      <c r="J59" s="111" t="s">
        <v>51</v>
      </c>
      <c r="K59" s="64">
        <v>2</v>
      </c>
      <c r="L59" s="64"/>
      <c r="M59" s="64" t="s">
        <v>255</v>
      </c>
      <c r="N59" s="63"/>
      <c r="O59" s="64">
        <v>8</v>
      </c>
      <c r="P59" s="64" t="s">
        <v>261</v>
      </c>
      <c r="Q59" s="21" t="str">
        <f ca="1">IFERROR(__xludf.DUMMYFUNCTION("IF(P59="""","""",IF(REGEXMATCH(UPPER(P59),""CITRATE""),""Citrate"",IF(REGEXMATCH(UPPER(P59),""ACETATE""),""Sodium Acetate"",IF(REGEXMATCH(UPPER(P59),""PBS""),""PBS"",IF(REGEXMATCH(UPPER(P59),""TRIS""),""Tris"",IF(REGEXMATCH(UPPER(P59),""HEPES""),""HEPES"""&amp;",IF(REGEXMATCH(UPPER(P59),""HISTIDINE""),""Histidine"",IF(REGEXMATCH(UPPER(P59),""SUCCINATE""),""Succinate"",IF(REGEXMATCH(UPPER(P59),""GLYCINE""),""Glycine"",P59)))))))))"),"PBS")</f>
        <v>PBS</v>
      </c>
      <c r="R59" s="108">
        <v>7.4</v>
      </c>
      <c r="S59" s="26">
        <v>10</v>
      </c>
      <c r="T59" s="101">
        <v>3</v>
      </c>
      <c r="U59" s="114">
        <v>20</v>
      </c>
      <c r="V59" s="23" t="s">
        <v>56</v>
      </c>
      <c r="W59" s="75" t="s">
        <v>270</v>
      </c>
      <c r="X59" s="75" t="s">
        <v>130</v>
      </c>
      <c r="Y59" s="115">
        <v>46175</v>
      </c>
      <c r="Z59" s="75"/>
      <c r="AA59" s="87"/>
      <c r="AB59" s="90" t="s">
        <v>260</v>
      </c>
    </row>
    <row r="60" spans="1:28" ht="18" customHeight="1">
      <c r="A60" s="85">
        <v>57</v>
      </c>
      <c r="B60" s="80" t="s">
        <v>157</v>
      </c>
      <c r="C60" s="41" t="s">
        <v>158</v>
      </c>
      <c r="D60" s="81">
        <v>2020</v>
      </c>
      <c r="E60" s="113" t="s">
        <v>84</v>
      </c>
      <c r="F60" s="64">
        <v>48</v>
      </c>
      <c r="G60" s="111" t="s">
        <v>85</v>
      </c>
      <c r="H60" s="64">
        <v>10</v>
      </c>
      <c r="I60" s="64">
        <v>40</v>
      </c>
      <c r="J60" s="111" t="s">
        <v>51</v>
      </c>
      <c r="K60" s="64">
        <v>2</v>
      </c>
      <c r="L60" s="64"/>
      <c r="M60" s="64" t="s">
        <v>255</v>
      </c>
      <c r="N60" s="63"/>
      <c r="O60" s="64">
        <v>8</v>
      </c>
      <c r="P60" s="64" t="s">
        <v>256</v>
      </c>
      <c r="Q60" s="21" t="str">
        <f ca="1">IFERROR(__xludf.DUMMYFUNCTION("IF(P60="""","""",IF(REGEXMATCH(UPPER(P60),""CITRATE""),""Citrate"",IF(REGEXMATCH(UPPER(P60),""ACETATE""),""Sodium Acetate"",IF(REGEXMATCH(UPPER(P60),""PBS""),""PBS"",IF(REGEXMATCH(UPPER(P60),""TRIS""),""Tris"",IF(REGEXMATCH(UPPER(P60),""HEPES""),""HEPES"""&amp;",IF(REGEXMATCH(UPPER(P60),""HISTIDINE""),""Histidine"",IF(REGEXMATCH(UPPER(P60),""SUCCINATE""),""Succinate"",IF(REGEXMATCH(UPPER(P60),""GLYCINE""),""Glycine"",P60)))))))))"),"Citrate")</f>
        <v>Citrate</v>
      </c>
      <c r="R60" s="108">
        <v>6</v>
      </c>
      <c r="S60" s="26">
        <v>100</v>
      </c>
      <c r="T60" s="101">
        <v>3</v>
      </c>
      <c r="U60" s="114">
        <v>20</v>
      </c>
      <c r="V60" s="23" t="s">
        <v>56</v>
      </c>
      <c r="W60" s="75" t="s">
        <v>271</v>
      </c>
      <c r="X60" s="75" t="s">
        <v>245</v>
      </c>
      <c r="Y60" s="75" t="s">
        <v>272</v>
      </c>
      <c r="Z60" s="75"/>
      <c r="AA60" s="87"/>
      <c r="AB60" s="90" t="s">
        <v>260</v>
      </c>
    </row>
    <row r="61" spans="1:28" ht="18" customHeight="1">
      <c r="A61" s="85">
        <v>58</v>
      </c>
      <c r="B61" s="80" t="s">
        <v>157</v>
      </c>
      <c r="C61" s="41" t="s">
        <v>158</v>
      </c>
      <c r="D61" s="81">
        <v>2020</v>
      </c>
      <c r="E61" s="113" t="s">
        <v>84</v>
      </c>
      <c r="F61" s="64">
        <v>48</v>
      </c>
      <c r="G61" s="111" t="s">
        <v>85</v>
      </c>
      <c r="H61" s="64">
        <v>10</v>
      </c>
      <c r="I61" s="64">
        <v>40</v>
      </c>
      <c r="J61" s="111" t="s">
        <v>51</v>
      </c>
      <c r="K61" s="64">
        <v>2</v>
      </c>
      <c r="L61" s="64"/>
      <c r="M61" s="64" t="s">
        <v>255</v>
      </c>
      <c r="N61" s="63"/>
      <c r="O61" s="64">
        <v>8</v>
      </c>
      <c r="P61" s="64" t="s">
        <v>261</v>
      </c>
      <c r="Q61" s="21" t="str">
        <f ca="1">IFERROR(__xludf.DUMMYFUNCTION("IF(P61="""","""",IF(REGEXMATCH(UPPER(P61),""CITRATE""),""Citrate"",IF(REGEXMATCH(UPPER(P61),""ACETATE""),""Sodium Acetate"",IF(REGEXMATCH(UPPER(P61),""PBS""),""PBS"",IF(REGEXMATCH(UPPER(P61),""TRIS""),""Tris"",IF(REGEXMATCH(UPPER(P61),""HEPES""),""HEPES"""&amp;",IF(REGEXMATCH(UPPER(P61),""HISTIDINE""),""Histidine"",IF(REGEXMATCH(UPPER(P61),""SUCCINATE""),""Succinate"",IF(REGEXMATCH(UPPER(P61),""GLYCINE""),""Glycine"",P61)))))))))"),"PBS")</f>
        <v>PBS</v>
      </c>
      <c r="R61" s="108">
        <v>7.4</v>
      </c>
      <c r="S61" s="26">
        <v>10</v>
      </c>
      <c r="T61" s="101">
        <v>3</v>
      </c>
      <c r="U61" s="114">
        <v>20</v>
      </c>
      <c r="V61" s="23" t="s">
        <v>56</v>
      </c>
      <c r="W61" s="75" t="s">
        <v>273</v>
      </c>
      <c r="X61" s="75" t="s">
        <v>258</v>
      </c>
      <c r="Y61" s="75" t="s">
        <v>274</v>
      </c>
      <c r="Z61" s="75"/>
      <c r="AA61" s="87"/>
      <c r="AB61" s="90" t="s">
        <v>260</v>
      </c>
    </row>
    <row r="62" spans="1:28" ht="18" customHeight="1">
      <c r="A62" s="85">
        <v>59</v>
      </c>
      <c r="B62" s="80" t="s">
        <v>157</v>
      </c>
      <c r="C62" s="41" t="s">
        <v>158</v>
      </c>
      <c r="D62" s="81">
        <v>2020</v>
      </c>
      <c r="E62" s="113" t="s">
        <v>84</v>
      </c>
      <c r="F62" s="64">
        <v>40</v>
      </c>
      <c r="G62" s="111" t="s">
        <v>85</v>
      </c>
      <c r="H62" s="64">
        <v>10</v>
      </c>
      <c r="I62" s="64">
        <v>48</v>
      </c>
      <c r="J62" s="111" t="s">
        <v>51</v>
      </c>
      <c r="K62" s="64">
        <v>2</v>
      </c>
      <c r="L62" s="64"/>
      <c r="M62" s="64" t="s">
        <v>255</v>
      </c>
      <c r="N62" s="63"/>
      <c r="O62" s="64">
        <v>8</v>
      </c>
      <c r="P62" s="64" t="s">
        <v>256</v>
      </c>
      <c r="Q62" s="21" t="str">
        <f ca="1">IFERROR(__xludf.DUMMYFUNCTION("IF(P62="""","""",IF(REGEXMATCH(UPPER(P62),""CITRATE""),""Citrate"",IF(REGEXMATCH(UPPER(P62),""ACETATE""),""Sodium Acetate"",IF(REGEXMATCH(UPPER(P62),""PBS""),""PBS"",IF(REGEXMATCH(UPPER(P62),""TRIS""),""Tris"",IF(REGEXMATCH(UPPER(P62),""HEPES""),""HEPES"""&amp;",IF(REGEXMATCH(UPPER(P62),""HISTIDINE""),""Histidine"",IF(REGEXMATCH(UPPER(P62),""SUCCINATE""),""Succinate"",IF(REGEXMATCH(UPPER(P62),""GLYCINE""),""Glycine"",P62)))))))))"),"Citrate")</f>
        <v>Citrate</v>
      </c>
      <c r="R62" s="108">
        <v>6</v>
      </c>
      <c r="S62" s="26">
        <v>100</v>
      </c>
      <c r="T62" s="101">
        <v>3</v>
      </c>
      <c r="U62" s="114">
        <v>20</v>
      </c>
      <c r="V62" s="23" t="s">
        <v>56</v>
      </c>
      <c r="W62" s="75" t="s">
        <v>275</v>
      </c>
      <c r="X62" s="75" t="s">
        <v>258</v>
      </c>
      <c r="Y62" s="75" t="s">
        <v>274</v>
      </c>
      <c r="Z62" s="75"/>
      <c r="AA62" s="87"/>
      <c r="AB62" s="90" t="s">
        <v>260</v>
      </c>
    </row>
    <row r="63" spans="1:28" ht="18" customHeight="1">
      <c r="A63" s="85">
        <v>60</v>
      </c>
      <c r="B63" s="80" t="s">
        <v>157</v>
      </c>
      <c r="C63" s="41" t="s">
        <v>158</v>
      </c>
      <c r="D63" s="81">
        <v>2020</v>
      </c>
      <c r="E63" s="113" t="s">
        <v>84</v>
      </c>
      <c r="F63" s="64">
        <v>40</v>
      </c>
      <c r="G63" s="111" t="s">
        <v>85</v>
      </c>
      <c r="H63" s="64">
        <v>10</v>
      </c>
      <c r="I63" s="64">
        <v>48</v>
      </c>
      <c r="J63" s="111" t="s">
        <v>51</v>
      </c>
      <c r="K63" s="64">
        <v>2</v>
      </c>
      <c r="L63" s="64"/>
      <c r="M63" s="64" t="s">
        <v>255</v>
      </c>
      <c r="N63" s="63"/>
      <c r="O63" s="64">
        <v>8</v>
      </c>
      <c r="P63" s="64" t="s">
        <v>261</v>
      </c>
      <c r="Q63" s="21" t="str">
        <f ca="1">IFERROR(__xludf.DUMMYFUNCTION("IF(P63="""","""",IF(REGEXMATCH(UPPER(P63),""CITRATE""),""Citrate"",IF(REGEXMATCH(UPPER(P63),""ACETATE""),""Sodium Acetate"",IF(REGEXMATCH(UPPER(P63),""PBS""),""PBS"",IF(REGEXMATCH(UPPER(P63),""TRIS""),""Tris"",IF(REGEXMATCH(UPPER(P63),""HEPES""),""HEPES"""&amp;",IF(REGEXMATCH(UPPER(P63),""HISTIDINE""),""Histidine"",IF(REGEXMATCH(UPPER(P63),""SUCCINATE""),""Succinate"",IF(REGEXMATCH(UPPER(P63),""GLYCINE""),""Glycine"",P63)))))))))"),"PBS")</f>
        <v>PBS</v>
      </c>
      <c r="R63" s="108">
        <v>7.4</v>
      </c>
      <c r="S63" s="26">
        <v>10</v>
      </c>
      <c r="T63" s="101">
        <v>3</v>
      </c>
      <c r="U63" s="114">
        <v>20</v>
      </c>
      <c r="V63" s="23" t="s">
        <v>56</v>
      </c>
      <c r="W63" s="75" t="s">
        <v>276</v>
      </c>
      <c r="X63" s="75" t="s">
        <v>104</v>
      </c>
      <c r="Y63" s="75" t="s">
        <v>277</v>
      </c>
      <c r="Z63" s="75"/>
      <c r="AA63" s="87"/>
      <c r="AB63" s="90" t="s">
        <v>260</v>
      </c>
    </row>
    <row r="64" spans="1:28" ht="18" customHeight="1">
      <c r="A64" s="85">
        <v>61</v>
      </c>
      <c r="B64" s="80" t="s">
        <v>157</v>
      </c>
      <c r="C64" s="41" t="s">
        <v>158</v>
      </c>
      <c r="D64" s="81">
        <v>2020</v>
      </c>
      <c r="E64" s="113" t="s">
        <v>84</v>
      </c>
      <c r="F64" s="64">
        <v>28</v>
      </c>
      <c r="G64" s="111" t="s">
        <v>85</v>
      </c>
      <c r="H64" s="64">
        <v>10</v>
      </c>
      <c r="I64" s="64">
        <v>60</v>
      </c>
      <c r="J64" s="111" t="s">
        <v>51</v>
      </c>
      <c r="K64" s="64">
        <v>2</v>
      </c>
      <c r="L64" s="64"/>
      <c r="M64" s="64" t="s">
        <v>255</v>
      </c>
      <c r="N64" s="63"/>
      <c r="O64" s="64">
        <v>8</v>
      </c>
      <c r="P64" s="64" t="s">
        <v>256</v>
      </c>
      <c r="Q64" s="21" t="str">
        <f ca="1">IFERROR(__xludf.DUMMYFUNCTION("IF(P64="""","""",IF(REGEXMATCH(UPPER(P64),""CITRATE""),""Citrate"",IF(REGEXMATCH(UPPER(P64),""ACETATE""),""Sodium Acetate"",IF(REGEXMATCH(UPPER(P64),""PBS""),""PBS"",IF(REGEXMATCH(UPPER(P64),""TRIS""),""Tris"",IF(REGEXMATCH(UPPER(P64),""HEPES""),""HEPES"""&amp;",IF(REGEXMATCH(UPPER(P64),""HISTIDINE""),""Histidine"",IF(REGEXMATCH(UPPER(P64),""SUCCINATE""),""Succinate"",IF(REGEXMATCH(UPPER(P64),""GLYCINE""),""Glycine"",P64)))))))))"),"Citrate")</f>
        <v>Citrate</v>
      </c>
      <c r="R64" s="108">
        <v>6</v>
      </c>
      <c r="S64" s="26">
        <v>100</v>
      </c>
      <c r="T64" s="101">
        <v>3</v>
      </c>
      <c r="U64" s="114">
        <v>20</v>
      </c>
      <c r="V64" s="23" t="s">
        <v>56</v>
      </c>
      <c r="W64" s="75" t="s">
        <v>278</v>
      </c>
      <c r="X64" s="75" t="s">
        <v>153</v>
      </c>
      <c r="Y64" s="75" t="s">
        <v>279</v>
      </c>
      <c r="Z64" s="75"/>
      <c r="AA64" s="87"/>
      <c r="AB64" s="90" t="s">
        <v>260</v>
      </c>
    </row>
    <row r="65" spans="1:28" ht="18" customHeight="1">
      <c r="A65" s="85">
        <v>62</v>
      </c>
      <c r="B65" s="80" t="s">
        <v>157</v>
      </c>
      <c r="C65" s="41" t="s">
        <v>158</v>
      </c>
      <c r="D65" s="81">
        <v>2020</v>
      </c>
      <c r="E65" s="113" t="s">
        <v>84</v>
      </c>
      <c r="F65" s="64">
        <v>28</v>
      </c>
      <c r="G65" s="111" t="s">
        <v>85</v>
      </c>
      <c r="H65" s="64">
        <v>10</v>
      </c>
      <c r="I65" s="64">
        <v>60</v>
      </c>
      <c r="J65" s="111" t="s">
        <v>51</v>
      </c>
      <c r="K65" s="64">
        <v>2</v>
      </c>
      <c r="L65" s="64"/>
      <c r="M65" s="64" t="s">
        <v>255</v>
      </c>
      <c r="N65" s="63"/>
      <c r="O65" s="64">
        <v>8</v>
      </c>
      <c r="P65" s="64" t="s">
        <v>261</v>
      </c>
      <c r="Q65" s="21" t="str">
        <f ca="1">IFERROR(__xludf.DUMMYFUNCTION("IF(P65="""","""",IF(REGEXMATCH(UPPER(P65),""CITRATE""),""Citrate"",IF(REGEXMATCH(UPPER(P65),""ACETATE""),""Sodium Acetate"",IF(REGEXMATCH(UPPER(P65),""PBS""),""PBS"",IF(REGEXMATCH(UPPER(P65),""TRIS""),""Tris"",IF(REGEXMATCH(UPPER(P65),""HEPES""),""HEPES"""&amp;",IF(REGEXMATCH(UPPER(P65),""HISTIDINE""),""Histidine"",IF(REGEXMATCH(UPPER(P65),""SUCCINATE""),""Succinate"",IF(REGEXMATCH(UPPER(P65),""GLYCINE""),""Glycine"",P65)))))))))"),"PBS")</f>
        <v>PBS</v>
      </c>
      <c r="R65" s="108">
        <v>7.4</v>
      </c>
      <c r="S65" s="26">
        <v>10</v>
      </c>
      <c r="T65" s="101">
        <v>3</v>
      </c>
      <c r="U65" s="114">
        <v>20</v>
      </c>
      <c r="V65" s="23" t="s">
        <v>56</v>
      </c>
      <c r="W65" s="75" t="s">
        <v>280</v>
      </c>
      <c r="X65" s="75" t="s">
        <v>112</v>
      </c>
      <c r="Y65" s="75" t="s">
        <v>281</v>
      </c>
      <c r="Z65" s="75"/>
      <c r="AA65" s="87"/>
      <c r="AB65" s="90" t="s">
        <v>260</v>
      </c>
    </row>
    <row r="66" spans="1:28" ht="18" customHeight="1">
      <c r="A66" s="85">
        <v>63</v>
      </c>
      <c r="B66" s="80" t="s">
        <v>157</v>
      </c>
      <c r="C66" s="41" t="s">
        <v>158</v>
      </c>
      <c r="D66" s="81">
        <v>2020</v>
      </c>
      <c r="E66" s="113" t="s">
        <v>84</v>
      </c>
      <c r="F66" s="64">
        <v>18</v>
      </c>
      <c r="G66" s="111" t="s">
        <v>85</v>
      </c>
      <c r="H66" s="64">
        <v>10</v>
      </c>
      <c r="I66" s="64">
        <v>70</v>
      </c>
      <c r="J66" s="111" t="s">
        <v>51</v>
      </c>
      <c r="K66" s="64">
        <v>2</v>
      </c>
      <c r="L66" s="64"/>
      <c r="M66" s="64" t="s">
        <v>255</v>
      </c>
      <c r="N66" s="63"/>
      <c r="O66" s="64">
        <v>8</v>
      </c>
      <c r="P66" s="64" t="s">
        <v>256</v>
      </c>
      <c r="Q66" s="21" t="str">
        <f ca="1">IFERROR(__xludf.DUMMYFUNCTION("IF(P66="""","""",IF(REGEXMATCH(UPPER(P66),""CITRATE""),""Citrate"",IF(REGEXMATCH(UPPER(P66),""ACETATE""),""Sodium Acetate"",IF(REGEXMATCH(UPPER(P66),""PBS""),""PBS"",IF(REGEXMATCH(UPPER(P66),""TRIS""),""Tris"",IF(REGEXMATCH(UPPER(P66),""HEPES""),""HEPES"""&amp;",IF(REGEXMATCH(UPPER(P66),""HISTIDINE""),""Histidine"",IF(REGEXMATCH(UPPER(P66),""SUCCINATE""),""Succinate"",IF(REGEXMATCH(UPPER(P66),""GLYCINE""),""Glycine"",P66)))))))))"),"Citrate")</f>
        <v>Citrate</v>
      </c>
      <c r="R66" s="108">
        <v>6</v>
      </c>
      <c r="S66" s="26">
        <v>100</v>
      </c>
      <c r="T66" s="101">
        <v>3</v>
      </c>
      <c r="U66" s="114">
        <v>20</v>
      </c>
      <c r="V66" s="23" t="s">
        <v>56</v>
      </c>
      <c r="W66" s="75" t="s">
        <v>282</v>
      </c>
      <c r="X66" s="75" t="s">
        <v>152</v>
      </c>
      <c r="Y66" s="75" t="s">
        <v>283</v>
      </c>
      <c r="Z66" s="75"/>
      <c r="AA66" s="87"/>
      <c r="AB66" s="90" t="s">
        <v>260</v>
      </c>
    </row>
    <row r="67" spans="1:28" ht="18" customHeight="1">
      <c r="A67" s="85">
        <v>64</v>
      </c>
      <c r="B67" s="80" t="s">
        <v>157</v>
      </c>
      <c r="C67" s="41" t="s">
        <v>158</v>
      </c>
      <c r="D67" s="81">
        <v>2020</v>
      </c>
      <c r="E67" s="113" t="s">
        <v>84</v>
      </c>
      <c r="F67" s="64">
        <v>18</v>
      </c>
      <c r="G67" s="111" t="s">
        <v>85</v>
      </c>
      <c r="H67" s="64">
        <v>10</v>
      </c>
      <c r="I67" s="64">
        <v>70</v>
      </c>
      <c r="J67" s="111" t="s">
        <v>51</v>
      </c>
      <c r="K67" s="64">
        <v>2</v>
      </c>
      <c r="L67" s="64"/>
      <c r="M67" s="64" t="s">
        <v>255</v>
      </c>
      <c r="N67" s="63"/>
      <c r="O67" s="64">
        <v>8</v>
      </c>
      <c r="P67" s="64" t="s">
        <v>261</v>
      </c>
      <c r="Q67" s="21" t="str">
        <f ca="1">IFERROR(__xludf.DUMMYFUNCTION("IF(P67="""","""",IF(REGEXMATCH(UPPER(P67),""CITRATE""),""Citrate"",IF(REGEXMATCH(UPPER(P67),""ACETATE""),""Sodium Acetate"",IF(REGEXMATCH(UPPER(P67),""PBS""),""PBS"",IF(REGEXMATCH(UPPER(P67),""TRIS""),""Tris"",IF(REGEXMATCH(UPPER(P67),""HEPES""),""HEPES"""&amp;",IF(REGEXMATCH(UPPER(P67),""HISTIDINE""),""Histidine"",IF(REGEXMATCH(UPPER(P67),""SUCCINATE""),""Succinate"",IF(REGEXMATCH(UPPER(P67),""GLYCINE""),""Glycine"",P67)))))))))"),"PBS")</f>
        <v>PBS</v>
      </c>
      <c r="R67" s="108">
        <v>7.4</v>
      </c>
      <c r="S67" s="26">
        <v>10</v>
      </c>
      <c r="T67" s="101">
        <v>3</v>
      </c>
      <c r="U67" s="114">
        <v>20</v>
      </c>
      <c r="V67" s="23" t="s">
        <v>56</v>
      </c>
      <c r="W67" s="75" t="s">
        <v>284</v>
      </c>
      <c r="X67" s="75" t="s">
        <v>112</v>
      </c>
      <c r="Y67" s="75" t="s">
        <v>285</v>
      </c>
      <c r="Z67" s="75"/>
      <c r="AA67" s="87"/>
      <c r="AB67" s="90" t="s">
        <v>260</v>
      </c>
    </row>
    <row r="68" spans="1:28" ht="18" customHeight="1">
      <c r="A68" s="85">
        <v>65</v>
      </c>
      <c r="B68" s="80" t="s">
        <v>157</v>
      </c>
      <c r="C68" s="41" t="s">
        <v>158</v>
      </c>
      <c r="D68" s="81">
        <v>2020</v>
      </c>
      <c r="E68" s="116" t="s">
        <v>101</v>
      </c>
      <c r="F68" s="64">
        <v>78</v>
      </c>
      <c r="G68" s="111" t="s">
        <v>85</v>
      </c>
      <c r="H68" s="64">
        <v>10</v>
      </c>
      <c r="I68" s="64">
        <v>10</v>
      </c>
      <c r="J68" s="111" t="s">
        <v>51</v>
      </c>
      <c r="K68" s="64">
        <v>2</v>
      </c>
      <c r="L68" s="64"/>
      <c r="M68" s="64" t="s">
        <v>255</v>
      </c>
      <c r="N68" s="63"/>
      <c r="O68" s="64">
        <v>8</v>
      </c>
      <c r="P68" s="64" t="s">
        <v>286</v>
      </c>
      <c r="Q68" s="21" t="str">
        <f ca="1">IFERROR(__xludf.DUMMYFUNCTION("IF(P68="""","""",IF(REGEXMATCH(UPPER(P68),""CITRATE""),""Citrate"",IF(REGEXMATCH(UPPER(P68),""ACETATE""),""Sodium Acetate"",IF(REGEXMATCH(UPPER(P68),""PBS""),""PBS"",IF(REGEXMATCH(UPPER(P68),""TRIS""),""Tris"",IF(REGEXMATCH(UPPER(P68),""HEPES""),""HEPES"""&amp;",IF(REGEXMATCH(UPPER(P68),""HISTIDINE""),""Histidine"",IF(REGEXMATCH(UPPER(P68),""SUCCINATE""),""Succinate"",IF(REGEXMATCH(UPPER(P68),""GLYCINE""),""Glycine"",P68)))))))))"),"Citrate")</f>
        <v>Citrate</v>
      </c>
      <c r="R68" s="108">
        <v>6</v>
      </c>
      <c r="S68" s="26">
        <v>100</v>
      </c>
      <c r="T68" s="101">
        <v>3</v>
      </c>
      <c r="U68" s="114">
        <v>20</v>
      </c>
      <c r="V68" s="23" t="s">
        <v>56</v>
      </c>
      <c r="W68" s="75" t="s">
        <v>287</v>
      </c>
      <c r="X68" s="75" t="s">
        <v>288</v>
      </c>
      <c r="Y68" s="75" t="s">
        <v>289</v>
      </c>
      <c r="Z68" s="75"/>
      <c r="AA68" s="87"/>
      <c r="AB68" s="90" t="s">
        <v>260</v>
      </c>
    </row>
    <row r="69" spans="1:28" ht="18" customHeight="1">
      <c r="A69" s="85">
        <v>66</v>
      </c>
      <c r="B69" s="80" t="s">
        <v>157</v>
      </c>
      <c r="C69" s="18" t="s">
        <v>158</v>
      </c>
      <c r="D69" s="81">
        <v>2020</v>
      </c>
      <c r="E69" s="116" t="s">
        <v>101</v>
      </c>
      <c r="F69" s="64">
        <v>78</v>
      </c>
      <c r="G69" s="111" t="s">
        <v>85</v>
      </c>
      <c r="H69" s="64">
        <v>10</v>
      </c>
      <c r="I69" s="64">
        <v>10</v>
      </c>
      <c r="J69" s="111" t="s">
        <v>51</v>
      </c>
      <c r="K69" s="64">
        <v>2</v>
      </c>
      <c r="L69" s="64"/>
      <c r="M69" s="64" t="s">
        <v>255</v>
      </c>
      <c r="N69" s="63"/>
      <c r="O69" s="64">
        <v>8</v>
      </c>
      <c r="P69" s="64" t="s">
        <v>290</v>
      </c>
      <c r="Q69" s="21" t="str">
        <f ca="1">IFERROR(__xludf.DUMMYFUNCTION("IF(P69="""","""",IF(REGEXMATCH(UPPER(P69),""CITRATE""),""Citrate"",IF(REGEXMATCH(UPPER(P69),""ACETATE""),""Sodium Acetate"",IF(REGEXMATCH(UPPER(P69),""PBS""),""PBS"",IF(REGEXMATCH(UPPER(P69),""TRIS""),""Tris"",IF(REGEXMATCH(UPPER(P69),""HEPES""),""HEPES"""&amp;",IF(REGEXMATCH(UPPER(P69),""HISTIDINE""),""Histidine"",IF(REGEXMATCH(UPPER(P69),""SUCCINATE""),""Succinate"",IF(REGEXMATCH(UPPER(P69),""GLYCINE""),""Glycine"",P69)))))))))"),"Tris")</f>
        <v>Tris</v>
      </c>
      <c r="R69" s="108">
        <v>7.4</v>
      </c>
      <c r="S69" s="26">
        <v>10</v>
      </c>
      <c r="T69" s="101">
        <v>3</v>
      </c>
      <c r="U69" s="114">
        <v>20</v>
      </c>
      <c r="V69" s="23" t="s">
        <v>56</v>
      </c>
      <c r="W69" s="75" t="s">
        <v>291</v>
      </c>
      <c r="X69" s="75" t="s">
        <v>292</v>
      </c>
      <c r="Y69" s="75" t="s">
        <v>293</v>
      </c>
      <c r="Z69" s="75"/>
      <c r="AA69" s="87"/>
      <c r="AB69" s="90" t="s">
        <v>260</v>
      </c>
    </row>
    <row r="70" spans="1:28" ht="15.75" customHeight="1">
      <c r="A70" s="85">
        <v>67</v>
      </c>
      <c r="B70" s="80" t="s">
        <v>157</v>
      </c>
      <c r="C70" s="18" t="s">
        <v>158</v>
      </c>
      <c r="D70" s="81">
        <v>2020</v>
      </c>
      <c r="E70" s="116" t="s">
        <v>101</v>
      </c>
      <c r="F70" s="64">
        <v>58</v>
      </c>
      <c r="G70" s="111" t="s">
        <v>85</v>
      </c>
      <c r="H70" s="64">
        <v>10</v>
      </c>
      <c r="I70" s="64">
        <v>30</v>
      </c>
      <c r="J70" s="111" t="s">
        <v>51</v>
      </c>
      <c r="K70" s="64">
        <v>2</v>
      </c>
      <c r="L70" s="64"/>
      <c r="M70" s="64" t="s">
        <v>255</v>
      </c>
      <c r="N70" s="63"/>
      <c r="O70" s="64">
        <v>8</v>
      </c>
      <c r="P70" s="64" t="s">
        <v>286</v>
      </c>
      <c r="Q70" s="21" t="str">
        <f ca="1">IFERROR(__xludf.DUMMYFUNCTION("IF(P70="""","""",IF(REGEXMATCH(UPPER(P70),""CITRATE""),""Citrate"",IF(REGEXMATCH(UPPER(P70),""ACETATE""),""Sodium Acetate"",IF(REGEXMATCH(UPPER(P70),""PBS""),""PBS"",IF(REGEXMATCH(UPPER(P70),""TRIS""),""Tris"",IF(REGEXMATCH(UPPER(P70),""HEPES""),""HEPES"""&amp;",IF(REGEXMATCH(UPPER(P70),""HISTIDINE""),""Histidine"",IF(REGEXMATCH(UPPER(P70),""SUCCINATE""),""Succinate"",IF(REGEXMATCH(UPPER(P70),""GLYCINE""),""Glycine"",P70)))))))))"),"Citrate")</f>
        <v>Citrate</v>
      </c>
      <c r="R70" s="108">
        <v>6</v>
      </c>
      <c r="S70" s="26">
        <v>100</v>
      </c>
      <c r="T70" s="101">
        <v>3</v>
      </c>
      <c r="U70" s="114">
        <v>20</v>
      </c>
      <c r="V70" s="23" t="s">
        <v>56</v>
      </c>
      <c r="W70" s="75" t="s">
        <v>294</v>
      </c>
      <c r="X70" s="75" t="s">
        <v>180</v>
      </c>
      <c r="Y70" s="75" t="s">
        <v>295</v>
      </c>
      <c r="Z70" s="75"/>
      <c r="AA70" s="87"/>
      <c r="AB70" s="90" t="s">
        <v>260</v>
      </c>
    </row>
    <row r="71" spans="1:28" ht="15.75" customHeight="1">
      <c r="A71" s="85">
        <v>68</v>
      </c>
      <c r="B71" s="80" t="s">
        <v>157</v>
      </c>
      <c r="C71" s="18" t="s">
        <v>158</v>
      </c>
      <c r="D71" s="81">
        <v>2020</v>
      </c>
      <c r="E71" s="116" t="s">
        <v>101</v>
      </c>
      <c r="F71" s="64">
        <v>58</v>
      </c>
      <c r="G71" s="111" t="s">
        <v>85</v>
      </c>
      <c r="H71" s="64">
        <v>10</v>
      </c>
      <c r="I71" s="64">
        <v>30</v>
      </c>
      <c r="J71" s="111" t="s">
        <v>51</v>
      </c>
      <c r="K71" s="64">
        <v>2</v>
      </c>
      <c r="L71" s="64"/>
      <c r="M71" s="64" t="s">
        <v>255</v>
      </c>
      <c r="N71" s="63"/>
      <c r="O71" s="64">
        <v>8</v>
      </c>
      <c r="P71" s="64" t="s">
        <v>290</v>
      </c>
      <c r="Q71" s="21" t="str">
        <f ca="1">IFERROR(__xludf.DUMMYFUNCTION("IF(P71="""","""",IF(REGEXMATCH(UPPER(P71),""CITRATE""),""Citrate"",IF(REGEXMATCH(UPPER(P71),""ACETATE""),""Sodium Acetate"",IF(REGEXMATCH(UPPER(P71),""PBS""),""PBS"",IF(REGEXMATCH(UPPER(P71),""TRIS""),""Tris"",IF(REGEXMATCH(UPPER(P71),""HEPES""),""HEPES"""&amp;",IF(REGEXMATCH(UPPER(P71),""HISTIDINE""),""Histidine"",IF(REGEXMATCH(UPPER(P71),""SUCCINATE""),""Succinate"",IF(REGEXMATCH(UPPER(P71),""GLYCINE""),""Glycine"",P71)))))))))"),"Tris")</f>
        <v>Tris</v>
      </c>
      <c r="R71" s="108">
        <v>7.4</v>
      </c>
      <c r="S71" s="26">
        <v>10</v>
      </c>
      <c r="T71" s="101">
        <v>3</v>
      </c>
      <c r="U71" s="114">
        <v>20</v>
      </c>
      <c r="V71" s="23" t="s">
        <v>56</v>
      </c>
      <c r="W71" s="75" t="s">
        <v>296</v>
      </c>
      <c r="X71" s="75" t="s">
        <v>130</v>
      </c>
      <c r="Y71" s="75" t="s">
        <v>52</v>
      </c>
      <c r="Z71" s="75"/>
      <c r="AA71" s="87"/>
      <c r="AB71" s="90" t="s">
        <v>260</v>
      </c>
    </row>
    <row r="72" spans="1:28" ht="15.75" customHeight="1">
      <c r="A72" s="85">
        <v>69</v>
      </c>
      <c r="B72" s="80" t="s">
        <v>157</v>
      </c>
      <c r="C72" s="18" t="s">
        <v>158</v>
      </c>
      <c r="D72" s="81">
        <v>2020</v>
      </c>
      <c r="E72" s="116" t="s">
        <v>101</v>
      </c>
      <c r="F72" s="64">
        <v>48</v>
      </c>
      <c r="G72" s="111" t="s">
        <v>85</v>
      </c>
      <c r="H72" s="64">
        <v>10</v>
      </c>
      <c r="I72" s="64">
        <v>40</v>
      </c>
      <c r="J72" s="111" t="s">
        <v>51</v>
      </c>
      <c r="K72" s="64">
        <v>2</v>
      </c>
      <c r="L72" s="64"/>
      <c r="M72" s="64" t="s">
        <v>255</v>
      </c>
      <c r="N72" s="63"/>
      <c r="O72" s="64">
        <v>8</v>
      </c>
      <c r="P72" s="64" t="s">
        <v>286</v>
      </c>
      <c r="Q72" s="21" t="str">
        <f ca="1">IFERROR(__xludf.DUMMYFUNCTION("IF(P72="""","""",IF(REGEXMATCH(UPPER(P72),""CITRATE""),""Citrate"",IF(REGEXMATCH(UPPER(P72),""ACETATE""),""Sodium Acetate"",IF(REGEXMATCH(UPPER(P72),""PBS""),""PBS"",IF(REGEXMATCH(UPPER(P72),""TRIS""),""Tris"",IF(REGEXMATCH(UPPER(P72),""HEPES""),""HEPES"""&amp;",IF(REGEXMATCH(UPPER(P72),""HISTIDINE""),""Histidine"",IF(REGEXMATCH(UPPER(P72),""SUCCINATE""),""Succinate"",IF(REGEXMATCH(UPPER(P72),""GLYCINE""),""Glycine"",P72)))))))))"),"Citrate")</f>
        <v>Citrate</v>
      </c>
      <c r="R72" s="108">
        <v>6</v>
      </c>
      <c r="S72" s="26">
        <v>100</v>
      </c>
      <c r="T72" s="101">
        <v>3</v>
      </c>
      <c r="U72" s="114">
        <v>20</v>
      </c>
      <c r="V72" s="23" t="s">
        <v>56</v>
      </c>
      <c r="W72" s="75" t="s">
        <v>297</v>
      </c>
      <c r="X72" s="75" t="s">
        <v>180</v>
      </c>
      <c r="Y72" s="75" t="s">
        <v>298</v>
      </c>
      <c r="Z72" s="75"/>
      <c r="AA72" s="87"/>
      <c r="AB72" s="90" t="s">
        <v>260</v>
      </c>
    </row>
    <row r="73" spans="1:28" ht="15.75" customHeight="1">
      <c r="A73" s="85">
        <v>70</v>
      </c>
      <c r="B73" s="80" t="s">
        <v>157</v>
      </c>
      <c r="C73" s="18" t="s">
        <v>158</v>
      </c>
      <c r="D73" s="81">
        <v>2020</v>
      </c>
      <c r="E73" s="116" t="s">
        <v>101</v>
      </c>
      <c r="F73" s="64">
        <v>48</v>
      </c>
      <c r="G73" s="111" t="s">
        <v>85</v>
      </c>
      <c r="H73" s="64">
        <v>10</v>
      </c>
      <c r="I73" s="64">
        <v>40</v>
      </c>
      <c r="J73" s="111" t="s">
        <v>51</v>
      </c>
      <c r="K73" s="64">
        <v>2</v>
      </c>
      <c r="L73" s="64"/>
      <c r="M73" s="64" t="s">
        <v>255</v>
      </c>
      <c r="N73" s="63"/>
      <c r="O73" s="64">
        <v>8</v>
      </c>
      <c r="P73" s="64" t="s">
        <v>290</v>
      </c>
      <c r="Q73" s="21" t="str">
        <f ca="1">IFERROR(__xludf.DUMMYFUNCTION("IF(P73="""","""",IF(REGEXMATCH(UPPER(P73),""CITRATE""),""Citrate"",IF(REGEXMATCH(UPPER(P73),""ACETATE""),""Sodium Acetate"",IF(REGEXMATCH(UPPER(P73),""PBS""),""PBS"",IF(REGEXMATCH(UPPER(P73),""TRIS""),""Tris"",IF(REGEXMATCH(UPPER(P73),""HEPES""),""HEPES"""&amp;",IF(REGEXMATCH(UPPER(P73),""HISTIDINE""),""Histidine"",IF(REGEXMATCH(UPPER(P73),""SUCCINATE""),""Succinate"",IF(REGEXMATCH(UPPER(P73),""GLYCINE""),""Glycine"",P73)))))))))"),"Tris")</f>
        <v>Tris</v>
      </c>
      <c r="R73" s="108">
        <v>7.4</v>
      </c>
      <c r="S73" s="26">
        <v>10</v>
      </c>
      <c r="T73" s="101">
        <v>3</v>
      </c>
      <c r="U73" s="114">
        <v>20</v>
      </c>
      <c r="V73" s="23" t="s">
        <v>56</v>
      </c>
      <c r="W73" s="75" t="s">
        <v>299</v>
      </c>
      <c r="X73" s="75" t="s">
        <v>97</v>
      </c>
      <c r="Y73" s="75" t="s">
        <v>300</v>
      </c>
      <c r="Z73" s="75"/>
      <c r="AA73" s="87"/>
      <c r="AB73" s="90" t="s">
        <v>260</v>
      </c>
    </row>
    <row r="74" spans="1:28" ht="15.75" customHeight="1">
      <c r="A74" s="85">
        <v>71</v>
      </c>
      <c r="B74" s="80" t="s">
        <v>157</v>
      </c>
      <c r="C74" s="18" t="s">
        <v>158</v>
      </c>
      <c r="D74" s="81">
        <v>2020</v>
      </c>
      <c r="E74" s="116" t="s">
        <v>101</v>
      </c>
      <c r="F74" s="64">
        <v>40</v>
      </c>
      <c r="G74" s="111" t="s">
        <v>85</v>
      </c>
      <c r="H74" s="64">
        <v>10</v>
      </c>
      <c r="I74" s="64">
        <v>48</v>
      </c>
      <c r="J74" s="111" t="s">
        <v>51</v>
      </c>
      <c r="K74" s="64">
        <v>2</v>
      </c>
      <c r="L74" s="64"/>
      <c r="M74" s="64" t="s">
        <v>255</v>
      </c>
      <c r="N74" s="63"/>
      <c r="O74" s="64">
        <v>8</v>
      </c>
      <c r="P74" s="64" t="s">
        <v>286</v>
      </c>
      <c r="Q74" s="21" t="str">
        <f ca="1">IFERROR(__xludf.DUMMYFUNCTION("IF(P74="""","""",IF(REGEXMATCH(UPPER(P74),""CITRATE""),""Citrate"",IF(REGEXMATCH(UPPER(P74),""ACETATE""),""Sodium Acetate"",IF(REGEXMATCH(UPPER(P74),""PBS""),""PBS"",IF(REGEXMATCH(UPPER(P74),""TRIS""),""Tris"",IF(REGEXMATCH(UPPER(P74),""HEPES""),""HEPES"""&amp;",IF(REGEXMATCH(UPPER(P74),""HISTIDINE""),""Histidine"",IF(REGEXMATCH(UPPER(P74),""SUCCINATE""),""Succinate"",IF(REGEXMATCH(UPPER(P74),""GLYCINE""),""Glycine"",P74)))))))))"),"Citrate")</f>
        <v>Citrate</v>
      </c>
      <c r="R74" s="108">
        <v>6</v>
      </c>
      <c r="S74" s="26">
        <v>100</v>
      </c>
      <c r="T74" s="101">
        <v>3</v>
      </c>
      <c r="U74" s="114">
        <v>20</v>
      </c>
      <c r="V74" s="23" t="s">
        <v>56</v>
      </c>
      <c r="W74" s="75" t="s">
        <v>301</v>
      </c>
      <c r="X74" s="75" t="s">
        <v>258</v>
      </c>
      <c r="Y74" s="75" t="s">
        <v>302</v>
      </c>
      <c r="Z74" s="75"/>
      <c r="AA74" s="87"/>
      <c r="AB74" s="90" t="s">
        <v>260</v>
      </c>
    </row>
    <row r="75" spans="1:28" ht="15.75" customHeight="1">
      <c r="A75" s="85">
        <v>72</v>
      </c>
      <c r="B75" s="80" t="s">
        <v>157</v>
      </c>
      <c r="C75" s="18" t="s">
        <v>158</v>
      </c>
      <c r="D75" s="81">
        <v>2020</v>
      </c>
      <c r="E75" s="116" t="s">
        <v>101</v>
      </c>
      <c r="F75" s="64">
        <v>40</v>
      </c>
      <c r="G75" s="111" t="s">
        <v>85</v>
      </c>
      <c r="H75" s="64">
        <v>10</v>
      </c>
      <c r="I75" s="64">
        <v>48</v>
      </c>
      <c r="J75" s="111" t="s">
        <v>51</v>
      </c>
      <c r="K75" s="64">
        <v>2</v>
      </c>
      <c r="L75" s="64"/>
      <c r="M75" s="64" t="s">
        <v>255</v>
      </c>
      <c r="N75" s="63"/>
      <c r="O75" s="64">
        <v>8</v>
      </c>
      <c r="P75" s="64" t="s">
        <v>290</v>
      </c>
      <c r="Q75" s="21" t="str">
        <f ca="1">IFERROR(__xludf.DUMMYFUNCTION("IF(P75="""","""",IF(REGEXMATCH(UPPER(P75),""CITRATE""),""Citrate"",IF(REGEXMATCH(UPPER(P75),""ACETATE""),""Sodium Acetate"",IF(REGEXMATCH(UPPER(P75),""PBS""),""PBS"",IF(REGEXMATCH(UPPER(P75),""TRIS""),""Tris"",IF(REGEXMATCH(UPPER(P75),""HEPES""),""HEPES"""&amp;",IF(REGEXMATCH(UPPER(P75),""HISTIDINE""),""Histidine"",IF(REGEXMATCH(UPPER(P75),""SUCCINATE""),""Succinate"",IF(REGEXMATCH(UPPER(P75),""GLYCINE""),""Glycine"",P75)))))))))"),"Tris")</f>
        <v>Tris</v>
      </c>
      <c r="R75" s="108">
        <v>7.4</v>
      </c>
      <c r="S75" s="26">
        <v>10</v>
      </c>
      <c r="T75" s="101">
        <v>3</v>
      </c>
      <c r="U75" s="114">
        <v>20</v>
      </c>
      <c r="V75" s="23" t="s">
        <v>56</v>
      </c>
      <c r="W75" s="75" t="s">
        <v>303</v>
      </c>
      <c r="X75" s="75" t="s">
        <v>156</v>
      </c>
      <c r="Y75" s="75" t="s">
        <v>304</v>
      </c>
      <c r="Z75" s="75"/>
      <c r="AA75" s="87"/>
      <c r="AB75" s="90" t="s">
        <v>260</v>
      </c>
    </row>
    <row r="76" spans="1:28" ht="15.75" customHeight="1">
      <c r="A76" s="85">
        <v>73</v>
      </c>
      <c r="B76" s="80" t="s">
        <v>157</v>
      </c>
      <c r="C76" s="18" t="s">
        <v>158</v>
      </c>
      <c r="D76" s="81">
        <v>2020</v>
      </c>
      <c r="E76" s="116" t="s">
        <v>101</v>
      </c>
      <c r="F76" s="64">
        <v>28</v>
      </c>
      <c r="G76" s="111" t="s">
        <v>85</v>
      </c>
      <c r="H76" s="64">
        <v>10</v>
      </c>
      <c r="I76" s="64">
        <v>60</v>
      </c>
      <c r="J76" s="111" t="s">
        <v>51</v>
      </c>
      <c r="K76" s="64">
        <v>2</v>
      </c>
      <c r="L76" s="64"/>
      <c r="M76" s="64" t="s">
        <v>255</v>
      </c>
      <c r="N76" s="63"/>
      <c r="O76" s="64">
        <v>8</v>
      </c>
      <c r="P76" s="64" t="s">
        <v>286</v>
      </c>
      <c r="Q76" s="21" t="str">
        <f ca="1">IFERROR(__xludf.DUMMYFUNCTION("IF(P76="""","""",IF(REGEXMATCH(UPPER(P76),""CITRATE""),""Citrate"",IF(REGEXMATCH(UPPER(P76),""ACETATE""),""Sodium Acetate"",IF(REGEXMATCH(UPPER(P76),""PBS""),""PBS"",IF(REGEXMATCH(UPPER(P76),""TRIS""),""Tris"",IF(REGEXMATCH(UPPER(P76),""HEPES""),""HEPES"""&amp;",IF(REGEXMATCH(UPPER(P76),""HISTIDINE""),""Histidine"",IF(REGEXMATCH(UPPER(P76),""SUCCINATE""),""Succinate"",IF(REGEXMATCH(UPPER(P76),""GLYCINE""),""Glycine"",P76)))))))))"),"Citrate")</f>
        <v>Citrate</v>
      </c>
      <c r="R76" s="108">
        <v>6</v>
      </c>
      <c r="S76" s="26">
        <v>100</v>
      </c>
      <c r="T76" s="101">
        <v>3</v>
      </c>
      <c r="U76" s="114">
        <v>20</v>
      </c>
      <c r="V76" s="23" t="s">
        <v>56</v>
      </c>
      <c r="W76" s="75" t="s">
        <v>305</v>
      </c>
      <c r="X76" s="75" t="s">
        <v>155</v>
      </c>
      <c r="Y76" s="75" t="s">
        <v>306</v>
      </c>
      <c r="Z76" s="75"/>
      <c r="AA76" s="87"/>
      <c r="AB76" s="90" t="s">
        <v>260</v>
      </c>
    </row>
    <row r="77" spans="1:28" ht="15.75" customHeight="1">
      <c r="A77" s="85">
        <v>74</v>
      </c>
      <c r="B77" s="80" t="s">
        <v>157</v>
      </c>
      <c r="C77" s="18" t="s">
        <v>158</v>
      </c>
      <c r="D77" s="81">
        <v>2020</v>
      </c>
      <c r="E77" s="116" t="s">
        <v>101</v>
      </c>
      <c r="F77" s="64">
        <v>28</v>
      </c>
      <c r="G77" s="111" t="s">
        <v>85</v>
      </c>
      <c r="H77" s="64">
        <v>10</v>
      </c>
      <c r="I77" s="64">
        <v>60</v>
      </c>
      <c r="J77" s="111" t="s">
        <v>51</v>
      </c>
      <c r="K77" s="64">
        <v>2</v>
      </c>
      <c r="L77" s="64"/>
      <c r="M77" s="64" t="s">
        <v>255</v>
      </c>
      <c r="N77" s="63"/>
      <c r="O77" s="64">
        <v>8</v>
      </c>
      <c r="P77" s="64" t="s">
        <v>290</v>
      </c>
      <c r="Q77" s="21" t="str">
        <f ca="1">IFERROR(__xludf.DUMMYFUNCTION("IF(P77="""","""",IF(REGEXMATCH(UPPER(P77),""CITRATE""),""Citrate"",IF(REGEXMATCH(UPPER(P77),""ACETATE""),""Sodium Acetate"",IF(REGEXMATCH(UPPER(P77),""PBS""),""PBS"",IF(REGEXMATCH(UPPER(P77),""TRIS""),""Tris"",IF(REGEXMATCH(UPPER(P77),""HEPES""),""HEPES"""&amp;",IF(REGEXMATCH(UPPER(P77),""HISTIDINE""),""Histidine"",IF(REGEXMATCH(UPPER(P77),""SUCCINATE""),""Succinate"",IF(REGEXMATCH(UPPER(P77),""GLYCINE""),""Glycine"",P77)))))))))"),"Tris")</f>
        <v>Tris</v>
      </c>
      <c r="R77" s="108">
        <v>7.4</v>
      </c>
      <c r="S77" s="26">
        <v>10</v>
      </c>
      <c r="T77" s="101">
        <v>3</v>
      </c>
      <c r="U77" s="114">
        <v>20</v>
      </c>
      <c r="V77" s="23" t="s">
        <v>56</v>
      </c>
      <c r="W77" s="75" t="s">
        <v>307</v>
      </c>
      <c r="X77" s="75" t="s">
        <v>180</v>
      </c>
      <c r="Y77" s="75" t="s">
        <v>263</v>
      </c>
      <c r="Z77" s="75"/>
      <c r="AA77" s="87"/>
      <c r="AB77" s="90" t="s">
        <v>260</v>
      </c>
    </row>
    <row r="78" spans="1:28" ht="15.75" customHeight="1">
      <c r="A78" s="85">
        <v>75</v>
      </c>
      <c r="B78" s="80" t="s">
        <v>308</v>
      </c>
      <c r="C78" s="41" t="s">
        <v>309</v>
      </c>
      <c r="D78" s="81">
        <v>2024</v>
      </c>
      <c r="E78" s="117" t="s">
        <v>84</v>
      </c>
      <c r="F78" s="64">
        <v>50</v>
      </c>
      <c r="G78" s="111" t="s">
        <v>85</v>
      </c>
      <c r="H78" s="64">
        <v>10</v>
      </c>
      <c r="I78" s="64" t="s">
        <v>86</v>
      </c>
      <c r="J78" s="111" t="s">
        <v>244</v>
      </c>
      <c r="K78" s="64">
        <v>2</v>
      </c>
      <c r="L78" s="64"/>
      <c r="M78" s="64" t="s">
        <v>53</v>
      </c>
      <c r="N78" s="63"/>
      <c r="O78" s="64"/>
      <c r="P78" s="64" t="s">
        <v>310</v>
      </c>
      <c r="Q78" s="21" t="str">
        <f ca="1">IFERROR(__xludf.DUMMYFUNCTION("IF(P78="""","""",IF(REGEXMATCH(UPPER(P78),""CITRATE""),""Citrate"",IF(REGEXMATCH(UPPER(P78),""ACETATE""),""Sodium Acetate"",IF(REGEXMATCH(UPPER(P78),""PBS""),""PBS"",IF(REGEXMATCH(UPPER(P78),""TRIS""),""Tris"",IF(REGEXMATCH(UPPER(P78),""HEPES""),""HEPES"""&amp;",IF(REGEXMATCH(UPPER(P78),""HISTIDINE""),""Histidine"",IF(REGEXMATCH(UPPER(P78),""SUCCINATE""),""Succinate"",IF(REGEXMATCH(UPPER(P78),""GLYCINE""),""Glycine"",P78)))))))))"),"Sodium Acetate")</f>
        <v>Sodium Acetate</v>
      </c>
      <c r="R78" s="25">
        <v>4</v>
      </c>
      <c r="S78" s="26">
        <v>25</v>
      </c>
      <c r="T78" s="101">
        <v>3</v>
      </c>
      <c r="U78" s="114">
        <v>12</v>
      </c>
      <c r="V78" s="23" t="s">
        <v>56</v>
      </c>
      <c r="W78" s="75" t="s">
        <v>311</v>
      </c>
      <c r="X78" s="75" t="s">
        <v>312</v>
      </c>
      <c r="Y78" s="75" t="s">
        <v>313</v>
      </c>
      <c r="Z78" s="75">
        <v>95</v>
      </c>
      <c r="AA78" s="87"/>
      <c r="AB78" s="90" t="s">
        <v>260</v>
      </c>
    </row>
    <row r="79" spans="1:28" ht="15.75" customHeight="1">
      <c r="A79" s="85">
        <v>76</v>
      </c>
      <c r="B79" s="80" t="s">
        <v>308</v>
      </c>
      <c r="C79" s="41" t="s">
        <v>314</v>
      </c>
      <c r="D79" s="81">
        <v>2024</v>
      </c>
      <c r="E79" s="117" t="s">
        <v>84</v>
      </c>
      <c r="F79" s="64">
        <v>50</v>
      </c>
      <c r="G79" s="111" t="s">
        <v>85</v>
      </c>
      <c r="H79" s="64">
        <v>10</v>
      </c>
      <c r="I79" s="64" t="s">
        <v>86</v>
      </c>
      <c r="J79" s="111" t="s">
        <v>244</v>
      </c>
      <c r="K79" s="64">
        <v>2</v>
      </c>
      <c r="L79" s="64"/>
      <c r="M79" s="64" t="s">
        <v>53</v>
      </c>
      <c r="N79" s="63"/>
      <c r="O79" s="64"/>
      <c r="P79" s="64" t="s">
        <v>310</v>
      </c>
      <c r="Q79" s="21" t="str">
        <f ca="1">IFERROR(__xludf.DUMMYFUNCTION("IF(P79="""","""",IF(REGEXMATCH(UPPER(P79),""CITRATE""),""Citrate"",IF(REGEXMATCH(UPPER(P79),""ACETATE""),""Sodium Acetate"",IF(REGEXMATCH(UPPER(P79),""PBS""),""PBS"",IF(REGEXMATCH(UPPER(P79),""TRIS""),""Tris"",IF(REGEXMATCH(UPPER(P79),""HEPES""),""HEPES"""&amp;",IF(REGEXMATCH(UPPER(P79),""HISTIDINE""),""Histidine"",IF(REGEXMATCH(UPPER(P79),""SUCCINATE""),""Succinate"",IF(REGEXMATCH(UPPER(P79),""GLYCINE""),""Glycine"",P79)))))))))"),"Sodium Acetate")</f>
        <v>Sodium Acetate</v>
      </c>
      <c r="R79" s="25">
        <v>4</v>
      </c>
      <c r="S79" s="26">
        <v>25</v>
      </c>
      <c r="T79" s="101">
        <v>3</v>
      </c>
      <c r="U79" s="114">
        <v>12</v>
      </c>
      <c r="V79" s="23" t="s">
        <v>56</v>
      </c>
      <c r="W79" s="75" t="s">
        <v>315</v>
      </c>
      <c r="X79" s="75" t="s">
        <v>316</v>
      </c>
      <c r="Y79" s="75" t="s">
        <v>317</v>
      </c>
      <c r="Z79" s="75">
        <v>95</v>
      </c>
      <c r="AA79" s="109"/>
      <c r="AB79" s="90" t="s">
        <v>260</v>
      </c>
    </row>
    <row r="80" spans="1:28" ht="15.75" customHeight="1">
      <c r="A80" s="85">
        <v>77</v>
      </c>
      <c r="B80" s="80" t="s">
        <v>318</v>
      </c>
      <c r="C80" s="118" t="s">
        <v>319</v>
      </c>
      <c r="D80" s="81">
        <v>2023</v>
      </c>
      <c r="E80" s="117" t="s">
        <v>320</v>
      </c>
      <c r="F80" s="64">
        <v>32.97</v>
      </c>
      <c r="G80" s="111" t="s">
        <v>49</v>
      </c>
      <c r="H80" s="64" t="s">
        <v>321</v>
      </c>
      <c r="I80" s="64" t="s">
        <v>322</v>
      </c>
      <c r="J80" s="111" t="s">
        <v>51</v>
      </c>
      <c r="K80" s="65">
        <v>46023</v>
      </c>
      <c r="L80" s="64"/>
      <c r="M80" s="64" t="s">
        <v>60</v>
      </c>
      <c r="N80" s="63">
        <v>10.4</v>
      </c>
      <c r="O80" s="64"/>
      <c r="P80" s="64" t="s">
        <v>323</v>
      </c>
      <c r="Q80" s="21" t="str">
        <f ca="1">IFERROR(__xludf.DUMMYFUNCTION("IF(P80="""","""",IF(REGEXMATCH(UPPER(P80),""CITRATE""),""Citrate"",IF(REGEXMATCH(UPPER(P80),""ACETATE""),""Sodium Acetate"",IF(REGEXMATCH(UPPER(P80),""PBS""),""PBS"",IF(REGEXMATCH(UPPER(P80),""TRIS""),""Tris"",IF(REGEXMATCH(UPPER(P80),""HEPES""),""HEPES"""&amp;",IF(REGEXMATCH(UPPER(P80),""HISTIDINE""),""Histidine"",IF(REGEXMATCH(UPPER(P80),""SUCCINATE""),""Succinate"",IF(REGEXMATCH(UPPER(P80),""GLYCINE""),""Glycine"",P80)))))))))"),"Citrate")</f>
        <v>Citrate</v>
      </c>
      <c r="R80" s="25"/>
      <c r="S80" s="26">
        <v>10</v>
      </c>
      <c r="T80" s="101">
        <v>3</v>
      </c>
      <c r="U80" s="114"/>
      <c r="V80" s="23" t="s">
        <v>56</v>
      </c>
      <c r="W80" s="75">
        <v>125</v>
      </c>
      <c r="X80" s="75" t="s">
        <v>152</v>
      </c>
      <c r="Y80" s="75"/>
      <c r="Z80" s="75"/>
      <c r="AA80" s="109">
        <v>5.35</v>
      </c>
      <c r="AB80" s="90" t="s">
        <v>260</v>
      </c>
    </row>
    <row r="81" spans="1:28" ht="15.75" customHeight="1">
      <c r="A81" s="85">
        <v>78</v>
      </c>
      <c r="B81" s="80" t="s">
        <v>318</v>
      </c>
      <c r="C81" s="41" t="s">
        <v>324</v>
      </c>
      <c r="D81" s="81">
        <v>2023</v>
      </c>
      <c r="E81" s="117" t="s">
        <v>320</v>
      </c>
      <c r="F81" s="64">
        <v>24.59</v>
      </c>
      <c r="G81" s="111" t="s">
        <v>49</v>
      </c>
      <c r="H81" s="64" t="s">
        <v>325</v>
      </c>
      <c r="I81" s="64" t="s">
        <v>326</v>
      </c>
      <c r="J81" s="111" t="s">
        <v>51</v>
      </c>
      <c r="K81" s="64" t="s">
        <v>327</v>
      </c>
      <c r="L81" s="64"/>
      <c r="M81" s="64" t="s">
        <v>60</v>
      </c>
      <c r="N81" s="63">
        <v>29.1</v>
      </c>
      <c r="O81" s="64"/>
      <c r="P81" s="64" t="s">
        <v>323</v>
      </c>
      <c r="Q81" s="21" t="str">
        <f ca="1">IFERROR(__xludf.DUMMYFUNCTION("IF(P81="""","""",IF(REGEXMATCH(UPPER(P81),""CITRATE""),""Citrate"",IF(REGEXMATCH(UPPER(P81),""ACETATE""),""Sodium Acetate"",IF(REGEXMATCH(UPPER(P81),""PBS""),""PBS"",IF(REGEXMATCH(UPPER(P81),""TRIS""),""Tris"",IF(REGEXMATCH(UPPER(P81),""HEPES""),""HEPES"""&amp;",IF(REGEXMATCH(UPPER(P81),""HISTIDINE""),""Histidine"",IF(REGEXMATCH(UPPER(P81),""SUCCINATE""),""Succinate"",IF(REGEXMATCH(UPPER(P81),""GLYCINE""),""Glycine"",P81)))))))))"),"Citrate")</f>
        <v>Citrate</v>
      </c>
      <c r="R81" s="25"/>
      <c r="S81" s="26">
        <v>10</v>
      </c>
      <c r="T81" s="101">
        <v>3</v>
      </c>
      <c r="U81" s="114"/>
      <c r="V81" s="23" t="s">
        <v>56</v>
      </c>
      <c r="W81" s="75" t="s">
        <v>328</v>
      </c>
      <c r="X81" s="75" t="s">
        <v>130</v>
      </c>
      <c r="Y81" s="75"/>
      <c r="Z81" s="75"/>
      <c r="AA81" s="109">
        <v>5.35</v>
      </c>
      <c r="AB81" s="90" t="s">
        <v>260</v>
      </c>
    </row>
    <row r="82" spans="1:28" ht="15.75" customHeight="1">
      <c r="A82" s="85">
        <v>79</v>
      </c>
      <c r="B82" s="80" t="s">
        <v>318</v>
      </c>
      <c r="C82" s="18" t="s">
        <v>319</v>
      </c>
      <c r="D82" s="81">
        <v>2023</v>
      </c>
      <c r="E82" s="117" t="s">
        <v>320</v>
      </c>
      <c r="F82" s="64">
        <v>19.350000000000001</v>
      </c>
      <c r="G82" s="111" t="s">
        <v>49</v>
      </c>
      <c r="H82" s="64" t="s">
        <v>329</v>
      </c>
      <c r="I82" s="64" t="s">
        <v>329</v>
      </c>
      <c r="J82" s="111" t="s">
        <v>51</v>
      </c>
      <c r="K82" s="64" t="s">
        <v>330</v>
      </c>
      <c r="L82" s="64"/>
      <c r="M82" s="64" t="s">
        <v>60</v>
      </c>
      <c r="N82" s="63">
        <v>45</v>
      </c>
      <c r="O82" s="64"/>
      <c r="P82" s="64" t="s">
        <v>323</v>
      </c>
      <c r="Q82" s="21" t="str">
        <f ca="1">IFERROR(__xludf.DUMMYFUNCTION("IF(P82="""","""",IF(REGEXMATCH(UPPER(P82),""CITRATE""),""Citrate"",IF(REGEXMATCH(UPPER(P82),""ACETATE""),""Sodium Acetate"",IF(REGEXMATCH(UPPER(P82),""PBS""),""PBS"",IF(REGEXMATCH(UPPER(P82),""TRIS""),""Tris"",IF(REGEXMATCH(UPPER(P82),""HEPES""),""HEPES"""&amp;",IF(REGEXMATCH(UPPER(P82),""HISTIDINE""),""Histidine"",IF(REGEXMATCH(UPPER(P82),""SUCCINATE""),""Succinate"",IF(REGEXMATCH(UPPER(P82),""GLYCINE""),""Glycine"",P82)))))))))"),"Citrate")</f>
        <v>Citrate</v>
      </c>
      <c r="R82" s="25"/>
      <c r="S82" s="26">
        <v>10</v>
      </c>
      <c r="T82" s="101">
        <v>3</v>
      </c>
      <c r="U82" s="114"/>
      <c r="V82" s="23" t="s">
        <v>56</v>
      </c>
      <c r="W82" s="75" t="s">
        <v>331</v>
      </c>
      <c r="X82" s="75" t="s">
        <v>149</v>
      </c>
      <c r="Y82" s="75"/>
      <c r="Z82" s="75"/>
      <c r="AA82" s="109">
        <v>5.05</v>
      </c>
      <c r="AB82" s="90" t="s">
        <v>260</v>
      </c>
    </row>
    <row r="83" spans="1:28" ht="15.75" customHeight="1">
      <c r="A83" s="85">
        <v>80</v>
      </c>
      <c r="B83" s="80" t="s">
        <v>318</v>
      </c>
      <c r="C83" s="18" t="s">
        <v>319</v>
      </c>
      <c r="D83" s="81">
        <v>2023</v>
      </c>
      <c r="E83" s="117" t="s">
        <v>320</v>
      </c>
      <c r="F83" s="64">
        <v>15.79</v>
      </c>
      <c r="G83" s="111" t="s">
        <v>49</v>
      </c>
      <c r="H83" s="64" t="s">
        <v>332</v>
      </c>
      <c r="I83" s="64" t="s">
        <v>333</v>
      </c>
      <c r="J83" s="111" t="s">
        <v>51</v>
      </c>
      <c r="K83" s="64" t="s">
        <v>334</v>
      </c>
      <c r="L83" s="64"/>
      <c r="M83" s="64" t="s">
        <v>60</v>
      </c>
      <c r="N83" s="63">
        <v>42.2</v>
      </c>
      <c r="O83" s="64"/>
      <c r="P83" s="64" t="s">
        <v>323</v>
      </c>
      <c r="Q83" s="21" t="str">
        <f ca="1">IFERROR(__xludf.DUMMYFUNCTION("IF(P83="""","""",IF(REGEXMATCH(UPPER(P83),""CITRATE""),""Citrate"",IF(REGEXMATCH(UPPER(P83),""ACETATE""),""Sodium Acetate"",IF(REGEXMATCH(UPPER(P83),""PBS""),""PBS"",IF(REGEXMATCH(UPPER(P83),""TRIS""),""Tris"",IF(REGEXMATCH(UPPER(P83),""HEPES""),""HEPES"""&amp;",IF(REGEXMATCH(UPPER(P83),""HISTIDINE""),""Histidine"",IF(REGEXMATCH(UPPER(P83),""SUCCINATE""),""Succinate"",IF(REGEXMATCH(UPPER(P83),""GLYCINE""),""Glycine"",P83)))))))))"),"Citrate")</f>
        <v>Citrate</v>
      </c>
      <c r="R83" s="25"/>
      <c r="S83" s="26">
        <v>10</v>
      </c>
      <c r="T83" s="101">
        <v>3</v>
      </c>
      <c r="U83" s="114"/>
      <c r="V83" s="23" t="s">
        <v>56</v>
      </c>
      <c r="W83" s="75" t="s">
        <v>335</v>
      </c>
      <c r="X83" s="75" t="s">
        <v>336</v>
      </c>
      <c r="Y83" s="75"/>
      <c r="Z83" s="75"/>
      <c r="AA83" s="109">
        <v>6.09</v>
      </c>
      <c r="AB83" s="90" t="s">
        <v>260</v>
      </c>
    </row>
    <row r="84" spans="1:28" ht="15.75" customHeight="1">
      <c r="A84" s="85">
        <v>81</v>
      </c>
      <c r="B84" s="80" t="s">
        <v>318</v>
      </c>
      <c r="C84" s="18" t="s">
        <v>319</v>
      </c>
      <c r="D84" s="81">
        <v>2023</v>
      </c>
      <c r="E84" s="117" t="s">
        <v>320</v>
      </c>
      <c r="F84" s="64">
        <v>40</v>
      </c>
      <c r="G84" s="111" t="s">
        <v>49</v>
      </c>
      <c r="H84" s="64">
        <v>16</v>
      </c>
      <c r="I84" s="64">
        <v>40</v>
      </c>
      <c r="J84" s="111" t="s">
        <v>51</v>
      </c>
      <c r="K84" s="64">
        <v>4</v>
      </c>
      <c r="L84" s="64"/>
      <c r="M84" s="64" t="s">
        <v>60</v>
      </c>
      <c r="N84" s="63">
        <v>36.9</v>
      </c>
      <c r="O84" s="64"/>
      <c r="P84" s="64" t="s">
        <v>323</v>
      </c>
      <c r="Q84" s="21" t="str">
        <f ca="1">IFERROR(__xludf.DUMMYFUNCTION("IF(P84="""","""",IF(REGEXMATCH(UPPER(P84),""CITRATE""),""Citrate"",IF(REGEXMATCH(UPPER(P84),""ACETATE""),""Sodium Acetate"",IF(REGEXMATCH(UPPER(P84),""PBS""),""PBS"",IF(REGEXMATCH(UPPER(P84),""TRIS""),""Tris"",IF(REGEXMATCH(UPPER(P84),""HEPES""),""HEPES"""&amp;",IF(REGEXMATCH(UPPER(P84),""HISTIDINE""),""Histidine"",IF(REGEXMATCH(UPPER(P84),""SUCCINATE""),""Succinate"",IF(REGEXMATCH(UPPER(P84),""GLYCINE""),""Glycine"",P84)))))))))"),"Citrate")</f>
        <v>Citrate</v>
      </c>
      <c r="R84" s="25"/>
      <c r="S84" s="26">
        <v>10</v>
      </c>
      <c r="T84" s="101">
        <v>3</v>
      </c>
      <c r="U84" s="114"/>
      <c r="V84" s="23" t="s">
        <v>56</v>
      </c>
      <c r="W84" s="75">
        <v>82</v>
      </c>
      <c r="X84" s="75" t="s">
        <v>89</v>
      </c>
      <c r="Y84" s="75"/>
      <c r="Z84" s="75"/>
      <c r="AA84" s="109">
        <v>6.12</v>
      </c>
      <c r="AB84" s="90" t="s">
        <v>260</v>
      </c>
    </row>
    <row r="85" spans="1:28" ht="15.75" customHeight="1">
      <c r="A85" s="85">
        <v>82</v>
      </c>
      <c r="B85" s="80" t="s">
        <v>318</v>
      </c>
      <c r="C85" s="18" t="s">
        <v>319</v>
      </c>
      <c r="D85" s="81">
        <v>2023</v>
      </c>
      <c r="E85" s="117" t="s">
        <v>320</v>
      </c>
      <c r="F85" s="64">
        <v>35.71</v>
      </c>
      <c r="G85" s="111" t="s">
        <v>49</v>
      </c>
      <c r="H85" s="64" t="s">
        <v>337</v>
      </c>
      <c r="I85" s="64" t="s">
        <v>337</v>
      </c>
      <c r="J85" s="111" t="s">
        <v>51</v>
      </c>
      <c r="K85" s="64" t="s">
        <v>338</v>
      </c>
      <c r="L85" s="64"/>
      <c r="M85" s="64" t="s">
        <v>60</v>
      </c>
      <c r="N85" s="63">
        <v>25.8</v>
      </c>
      <c r="O85" s="64"/>
      <c r="P85" s="64" t="s">
        <v>323</v>
      </c>
      <c r="Q85" s="21" t="str">
        <f ca="1">IFERROR(__xludf.DUMMYFUNCTION("IF(P85="""","""",IF(REGEXMATCH(UPPER(P85),""CITRATE""),""Citrate"",IF(REGEXMATCH(UPPER(P85),""ACETATE""),""Sodium Acetate"",IF(REGEXMATCH(UPPER(P85),""PBS""),""PBS"",IF(REGEXMATCH(UPPER(P85),""TRIS""),""Tris"",IF(REGEXMATCH(UPPER(P85),""HEPES""),""HEPES"""&amp;",IF(REGEXMATCH(UPPER(P85),""HISTIDINE""),""Histidine"",IF(REGEXMATCH(UPPER(P85),""SUCCINATE""),""Succinate"",IF(REGEXMATCH(UPPER(P85),""GLYCINE""),""Glycine"",P85)))))))))"),"Citrate")</f>
        <v>Citrate</v>
      </c>
      <c r="R85" s="25"/>
      <c r="S85" s="26">
        <v>10</v>
      </c>
      <c r="T85" s="101">
        <v>3</v>
      </c>
      <c r="U85" s="114"/>
      <c r="V85" s="23" t="s">
        <v>56</v>
      </c>
      <c r="W85" s="75" t="s">
        <v>339</v>
      </c>
      <c r="X85" s="75" t="s">
        <v>175</v>
      </c>
      <c r="Y85" s="75"/>
      <c r="Z85" s="75"/>
      <c r="AA85" s="109">
        <v>5.91</v>
      </c>
      <c r="AB85" s="90" t="s">
        <v>260</v>
      </c>
    </row>
    <row r="86" spans="1:28" ht="15.75" customHeight="1">
      <c r="A86" s="85">
        <v>83</v>
      </c>
      <c r="B86" s="80" t="s">
        <v>318</v>
      </c>
      <c r="C86" s="18" t="s">
        <v>319</v>
      </c>
      <c r="D86" s="81">
        <v>2023</v>
      </c>
      <c r="E86" s="117" t="s">
        <v>320</v>
      </c>
      <c r="F86" s="64">
        <v>27.62</v>
      </c>
      <c r="G86" s="111" t="s">
        <v>49</v>
      </c>
      <c r="H86" s="64" t="s">
        <v>340</v>
      </c>
      <c r="I86" s="64" t="s">
        <v>341</v>
      </c>
      <c r="J86" s="111" t="s">
        <v>51</v>
      </c>
      <c r="K86" s="64" t="s">
        <v>342</v>
      </c>
      <c r="L86" s="64"/>
      <c r="M86" s="64" t="s">
        <v>60</v>
      </c>
      <c r="N86" s="63">
        <v>11.4</v>
      </c>
      <c r="O86" s="64"/>
      <c r="P86" s="64" t="s">
        <v>323</v>
      </c>
      <c r="Q86" s="21" t="str">
        <f ca="1">IFERROR(__xludf.DUMMYFUNCTION("IF(P86="""","""",IF(REGEXMATCH(UPPER(P86),""CITRATE""),""Citrate"",IF(REGEXMATCH(UPPER(P86),""ACETATE""),""Sodium Acetate"",IF(REGEXMATCH(UPPER(P86),""PBS""),""PBS"",IF(REGEXMATCH(UPPER(P86),""TRIS""),""Tris"",IF(REGEXMATCH(UPPER(P86),""HEPES""),""HEPES"""&amp;",IF(REGEXMATCH(UPPER(P86),""HISTIDINE""),""Histidine"",IF(REGEXMATCH(UPPER(P86),""SUCCINATE""),""Succinate"",IF(REGEXMATCH(UPPER(P86),""GLYCINE""),""Glycine"",P86)))))))))"),"Citrate")</f>
        <v>Citrate</v>
      </c>
      <c r="R86" s="25"/>
      <c r="S86" s="26">
        <v>10</v>
      </c>
      <c r="T86" s="101">
        <v>3</v>
      </c>
      <c r="U86" s="114"/>
      <c r="V86" s="23" t="s">
        <v>56</v>
      </c>
      <c r="W86" s="75" t="s">
        <v>343</v>
      </c>
      <c r="X86" s="75" t="s">
        <v>180</v>
      </c>
      <c r="Y86" s="75"/>
      <c r="Z86" s="75"/>
      <c r="AA86" s="109">
        <v>5.28</v>
      </c>
      <c r="AB86" s="90" t="s">
        <v>260</v>
      </c>
    </row>
    <row r="87" spans="1:28" ht="15.75" customHeight="1">
      <c r="A87" s="85">
        <v>84</v>
      </c>
      <c r="B87" s="80" t="s">
        <v>318</v>
      </c>
      <c r="C87" s="18" t="s">
        <v>319</v>
      </c>
      <c r="D87" s="81">
        <v>2023</v>
      </c>
      <c r="E87" s="117" t="s">
        <v>320</v>
      </c>
      <c r="F87" s="64">
        <v>26.04</v>
      </c>
      <c r="G87" s="111" t="s">
        <v>49</v>
      </c>
      <c r="H87" s="64" t="s">
        <v>344</v>
      </c>
      <c r="I87" s="64" t="s">
        <v>345</v>
      </c>
      <c r="J87" s="111" t="s">
        <v>51</v>
      </c>
      <c r="K87" s="119">
        <v>46113</v>
      </c>
      <c r="L87" s="64"/>
      <c r="M87" s="64" t="s">
        <v>60</v>
      </c>
      <c r="N87" s="63">
        <v>15.7</v>
      </c>
      <c r="O87" s="64"/>
      <c r="P87" s="64" t="s">
        <v>323</v>
      </c>
      <c r="Q87" s="21" t="str">
        <f ca="1">IFERROR(__xludf.DUMMYFUNCTION("IF(P87="""","""",IF(REGEXMATCH(UPPER(P87),""CITRATE""),""Citrate"",IF(REGEXMATCH(UPPER(P87),""ACETATE""),""Sodium Acetate"",IF(REGEXMATCH(UPPER(P87),""PBS""),""PBS"",IF(REGEXMATCH(UPPER(P87),""TRIS""),""Tris"",IF(REGEXMATCH(UPPER(P87),""HEPES""),""HEPES"""&amp;",IF(REGEXMATCH(UPPER(P87),""HISTIDINE""),""Histidine"",IF(REGEXMATCH(UPPER(P87),""SUCCINATE""),""Succinate"",IF(REGEXMATCH(UPPER(P87),""GLYCINE""),""Glycine"",P87)))))))))"),"Citrate")</f>
        <v>Citrate</v>
      </c>
      <c r="R87" s="25"/>
      <c r="S87" s="26">
        <v>10</v>
      </c>
      <c r="T87" s="101">
        <v>3</v>
      </c>
      <c r="U87" s="114"/>
      <c r="V87" s="23" t="s">
        <v>56</v>
      </c>
      <c r="W87" s="75" t="s">
        <v>346</v>
      </c>
      <c r="X87" s="75" t="s">
        <v>149</v>
      </c>
      <c r="Y87" s="75"/>
      <c r="Z87" s="75"/>
      <c r="AA87" s="109">
        <v>5.51</v>
      </c>
      <c r="AB87" s="90" t="s">
        <v>260</v>
      </c>
    </row>
    <row r="88" spans="1:28" ht="15.75" customHeight="1">
      <c r="A88" s="85">
        <v>85</v>
      </c>
      <c r="B88" s="80" t="s">
        <v>318</v>
      </c>
      <c r="C88" s="18" t="s">
        <v>319</v>
      </c>
      <c r="D88" s="81">
        <v>2023</v>
      </c>
      <c r="E88" s="117" t="s">
        <v>320</v>
      </c>
      <c r="F88" s="64">
        <v>43.75</v>
      </c>
      <c r="G88" s="111" t="s">
        <v>49</v>
      </c>
      <c r="H88" s="65">
        <v>46154</v>
      </c>
      <c r="I88" s="64" t="s">
        <v>347</v>
      </c>
      <c r="J88" s="111" t="s">
        <v>51</v>
      </c>
      <c r="K88" s="64" t="s">
        <v>348</v>
      </c>
      <c r="L88" s="64"/>
      <c r="M88" s="64" t="s">
        <v>60</v>
      </c>
      <c r="N88" s="63">
        <v>35.200000000000003</v>
      </c>
      <c r="O88" s="64"/>
      <c r="P88" s="64" t="s">
        <v>323</v>
      </c>
      <c r="Q88" s="21" t="str">
        <f ca="1">IFERROR(__xludf.DUMMYFUNCTION("IF(P88="""","""",IF(REGEXMATCH(UPPER(P88),""CITRATE""),""Citrate"",IF(REGEXMATCH(UPPER(P88),""ACETATE""),""Sodium Acetate"",IF(REGEXMATCH(UPPER(P88),""PBS""),""PBS"",IF(REGEXMATCH(UPPER(P88),""TRIS""),""Tris"",IF(REGEXMATCH(UPPER(P88),""HEPES""),""HEPES"""&amp;",IF(REGEXMATCH(UPPER(P88),""HISTIDINE""),""Histidine"",IF(REGEXMATCH(UPPER(P88),""SUCCINATE""),""Succinate"",IF(REGEXMATCH(UPPER(P88),""GLYCINE""),""Glycine"",P88)))))))))"),"Citrate")</f>
        <v>Citrate</v>
      </c>
      <c r="R88" s="25"/>
      <c r="S88" s="26">
        <v>10</v>
      </c>
      <c r="T88" s="101">
        <v>3</v>
      </c>
      <c r="U88" s="114"/>
      <c r="V88" s="23" t="s">
        <v>56</v>
      </c>
      <c r="W88" s="75" t="s">
        <v>349</v>
      </c>
      <c r="X88" s="75" t="s">
        <v>175</v>
      </c>
      <c r="Y88" s="75"/>
      <c r="Z88" s="75"/>
      <c r="AA88" s="109">
        <v>5.87</v>
      </c>
      <c r="AB88" s="90" t="s">
        <v>260</v>
      </c>
    </row>
    <row r="89" spans="1:28" ht="15.75" customHeight="1">
      <c r="A89" s="85">
        <v>86</v>
      </c>
      <c r="B89" s="80" t="s">
        <v>318</v>
      </c>
      <c r="C89" s="18" t="s">
        <v>319</v>
      </c>
      <c r="D89" s="81">
        <v>2023</v>
      </c>
      <c r="E89" s="117" t="s">
        <v>320</v>
      </c>
      <c r="F89" s="64">
        <v>37.840000000000003</v>
      </c>
      <c r="G89" s="111" t="s">
        <v>49</v>
      </c>
      <c r="H89" s="64" t="s">
        <v>350</v>
      </c>
      <c r="I89" s="64" t="s">
        <v>351</v>
      </c>
      <c r="J89" s="111" t="s">
        <v>51</v>
      </c>
      <c r="K89" s="65">
        <v>46205</v>
      </c>
      <c r="L89" s="64"/>
      <c r="M89" s="64" t="s">
        <v>60</v>
      </c>
      <c r="N89" s="63">
        <v>28</v>
      </c>
      <c r="O89" s="64"/>
      <c r="P89" s="64" t="s">
        <v>323</v>
      </c>
      <c r="Q89" s="21" t="str">
        <f ca="1">IFERROR(__xludf.DUMMYFUNCTION("IF(P89="""","""",IF(REGEXMATCH(UPPER(P89),""CITRATE""),""Citrate"",IF(REGEXMATCH(UPPER(P89),""ACETATE""),""Sodium Acetate"",IF(REGEXMATCH(UPPER(P89),""PBS""),""PBS"",IF(REGEXMATCH(UPPER(P89),""TRIS""),""Tris"",IF(REGEXMATCH(UPPER(P89),""HEPES""),""HEPES"""&amp;",IF(REGEXMATCH(UPPER(P89),""HISTIDINE""),""Histidine"",IF(REGEXMATCH(UPPER(P89),""SUCCINATE""),""Succinate"",IF(REGEXMATCH(UPPER(P89),""GLYCINE""),""Glycine"",P89)))))))))"),"Citrate")</f>
        <v>Citrate</v>
      </c>
      <c r="R89" s="25"/>
      <c r="S89" s="26">
        <v>10</v>
      </c>
      <c r="T89" s="101">
        <v>3</v>
      </c>
      <c r="U89" s="114"/>
      <c r="V89" s="23" t="s">
        <v>56</v>
      </c>
      <c r="W89" s="75">
        <v>95</v>
      </c>
      <c r="X89" s="75" t="s">
        <v>258</v>
      </c>
      <c r="Y89" s="75"/>
      <c r="Z89" s="75"/>
      <c r="AA89" s="109">
        <v>5.12</v>
      </c>
      <c r="AB89" s="90" t="s">
        <v>260</v>
      </c>
    </row>
    <row r="90" spans="1:28" ht="15.75" customHeight="1">
      <c r="A90" s="85">
        <v>87</v>
      </c>
      <c r="B90" s="80" t="s">
        <v>318</v>
      </c>
      <c r="C90" s="18" t="s">
        <v>319</v>
      </c>
      <c r="D90" s="81">
        <v>2023</v>
      </c>
      <c r="E90" s="117" t="s">
        <v>320</v>
      </c>
      <c r="F90" s="64">
        <v>40.700000000000003</v>
      </c>
      <c r="G90" s="111" t="s">
        <v>49</v>
      </c>
      <c r="H90" s="64" t="s">
        <v>352</v>
      </c>
      <c r="I90" s="64" t="s">
        <v>353</v>
      </c>
      <c r="J90" s="111" t="s">
        <v>51</v>
      </c>
      <c r="K90" s="64" t="s">
        <v>354</v>
      </c>
      <c r="L90" s="64"/>
      <c r="M90" s="64" t="s">
        <v>60</v>
      </c>
      <c r="N90" s="63">
        <v>10.8</v>
      </c>
      <c r="O90" s="64"/>
      <c r="P90" s="64" t="s">
        <v>323</v>
      </c>
      <c r="Q90" s="21" t="str">
        <f ca="1">IFERROR(__xludf.DUMMYFUNCTION("IF(P90="""","""",IF(REGEXMATCH(UPPER(P90),""CITRATE""),""Citrate"",IF(REGEXMATCH(UPPER(P90),""ACETATE""),""Sodium Acetate"",IF(REGEXMATCH(UPPER(P90),""PBS""),""PBS"",IF(REGEXMATCH(UPPER(P90),""TRIS""),""Tris"",IF(REGEXMATCH(UPPER(P90),""HEPES""),""HEPES"""&amp;",IF(REGEXMATCH(UPPER(P90),""HISTIDINE""),""Histidine"",IF(REGEXMATCH(UPPER(P90),""SUCCINATE""),""Succinate"",IF(REGEXMATCH(UPPER(P90),""GLYCINE""),""Glycine"",P90)))))))))"),"Citrate")</f>
        <v>Citrate</v>
      </c>
      <c r="R90" s="25"/>
      <c r="S90" s="26">
        <v>10</v>
      </c>
      <c r="T90" s="101">
        <v>3</v>
      </c>
      <c r="U90" s="114"/>
      <c r="V90" s="23" t="s">
        <v>56</v>
      </c>
      <c r="W90" s="75" t="s">
        <v>355</v>
      </c>
      <c r="X90" s="75" t="s">
        <v>245</v>
      </c>
      <c r="Y90" s="75"/>
      <c r="Z90" s="75"/>
      <c r="AA90" s="109">
        <v>4.9000000000000004</v>
      </c>
      <c r="AB90" s="90" t="s">
        <v>260</v>
      </c>
    </row>
    <row r="91" spans="1:28" ht="15.75" customHeight="1">
      <c r="A91" s="85">
        <v>88</v>
      </c>
      <c r="B91" s="80" t="s">
        <v>318</v>
      </c>
      <c r="C91" s="18" t="s">
        <v>319</v>
      </c>
      <c r="D91" s="81">
        <v>2023</v>
      </c>
      <c r="E91" s="117" t="s">
        <v>320</v>
      </c>
      <c r="F91" s="64">
        <v>34.83</v>
      </c>
      <c r="G91" s="111" t="s">
        <v>49</v>
      </c>
      <c r="H91" s="64" t="s">
        <v>356</v>
      </c>
      <c r="I91" s="64" t="s">
        <v>357</v>
      </c>
      <c r="J91" s="111" t="s">
        <v>51</v>
      </c>
      <c r="K91" s="64" t="s">
        <v>358</v>
      </c>
      <c r="L91" s="64"/>
      <c r="M91" s="64" t="s">
        <v>60</v>
      </c>
      <c r="N91" s="63">
        <v>18.100000000000001</v>
      </c>
      <c r="O91" s="64"/>
      <c r="P91" s="64" t="s">
        <v>323</v>
      </c>
      <c r="Q91" s="21" t="str">
        <f ca="1">IFERROR(__xludf.DUMMYFUNCTION("IF(P91="""","""",IF(REGEXMATCH(UPPER(P91),""CITRATE""),""Citrate"",IF(REGEXMATCH(UPPER(P91),""ACETATE""),""Sodium Acetate"",IF(REGEXMATCH(UPPER(P91),""PBS""),""PBS"",IF(REGEXMATCH(UPPER(P91),""TRIS""),""Tris"",IF(REGEXMATCH(UPPER(P91),""HEPES""),""HEPES"""&amp;",IF(REGEXMATCH(UPPER(P91),""HISTIDINE""),""Histidine"",IF(REGEXMATCH(UPPER(P91),""SUCCINATE""),""Succinate"",IF(REGEXMATCH(UPPER(P91),""GLYCINE""),""Glycine"",P91)))))))))"),"Citrate")</f>
        <v>Citrate</v>
      </c>
      <c r="R91" s="25"/>
      <c r="S91" s="26">
        <v>10</v>
      </c>
      <c r="T91" s="101">
        <v>3</v>
      </c>
      <c r="U91" s="114"/>
      <c r="V91" s="23" t="s">
        <v>56</v>
      </c>
      <c r="W91" s="75">
        <v>151</v>
      </c>
      <c r="X91" s="75" t="s">
        <v>185</v>
      </c>
      <c r="Y91" s="75"/>
      <c r="Z91" s="75"/>
      <c r="AA91" s="109">
        <v>5.49</v>
      </c>
      <c r="AB91" s="90" t="s">
        <v>260</v>
      </c>
    </row>
    <row r="92" spans="1:28" ht="15.75" customHeight="1">
      <c r="A92" s="85">
        <v>89</v>
      </c>
      <c r="B92" s="80" t="s">
        <v>318</v>
      </c>
      <c r="C92" s="18" t="s">
        <v>319</v>
      </c>
      <c r="D92" s="81">
        <v>2023</v>
      </c>
      <c r="E92" s="117" t="s">
        <v>320</v>
      </c>
      <c r="F92" s="64">
        <v>49.45</v>
      </c>
      <c r="G92" s="111" t="s">
        <v>49</v>
      </c>
      <c r="H92" s="64" t="s">
        <v>359</v>
      </c>
      <c r="I92" s="64" t="s">
        <v>360</v>
      </c>
      <c r="J92" s="111" t="s">
        <v>51</v>
      </c>
      <c r="K92" s="65">
        <v>46023</v>
      </c>
      <c r="L92" s="64"/>
      <c r="M92" s="64" t="s">
        <v>60</v>
      </c>
      <c r="N92" s="63">
        <v>15.3</v>
      </c>
      <c r="O92" s="64"/>
      <c r="P92" s="64" t="s">
        <v>323</v>
      </c>
      <c r="Q92" s="21" t="str">
        <f ca="1">IFERROR(__xludf.DUMMYFUNCTION("IF(P92="""","""",IF(REGEXMATCH(UPPER(P92),""CITRATE""),""Citrate"",IF(REGEXMATCH(UPPER(P92),""ACETATE""),""Sodium Acetate"",IF(REGEXMATCH(UPPER(P92),""PBS""),""PBS"",IF(REGEXMATCH(UPPER(P92),""TRIS""),""Tris"",IF(REGEXMATCH(UPPER(P92),""HEPES""),""HEPES"""&amp;",IF(REGEXMATCH(UPPER(P92),""HISTIDINE""),""Histidine"",IF(REGEXMATCH(UPPER(P92),""SUCCINATE""),""Succinate"",IF(REGEXMATCH(UPPER(P92),""GLYCINE""),""Glycine"",P92)))))))))"),"Citrate")</f>
        <v>Citrate</v>
      </c>
      <c r="R92" s="25"/>
      <c r="S92" s="26">
        <v>10</v>
      </c>
      <c r="T92" s="101">
        <v>3</v>
      </c>
      <c r="U92" s="114"/>
      <c r="V92" s="23" t="s">
        <v>56</v>
      </c>
      <c r="W92" s="75" t="s">
        <v>361</v>
      </c>
      <c r="X92" s="75" t="s">
        <v>153</v>
      </c>
      <c r="Y92" s="75"/>
      <c r="Z92" s="75"/>
      <c r="AA92" s="109">
        <v>5.25</v>
      </c>
      <c r="AB92" s="90" t="s">
        <v>260</v>
      </c>
    </row>
    <row r="93" spans="1:28" ht="15.75" customHeight="1">
      <c r="A93" s="85">
        <v>90</v>
      </c>
      <c r="B93" s="80" t="s">
        <v>318</v>
      </c>
      <c r="C93" s="18" t="s">
        <v>319</v>
      </c>
      <c r="D93" s="81">
        <v>2023</v>
      </c>
      <c r="E93" s="117" t="s">
        <v>320</v>
      </c>
      <c r="F93" s="64">
        <v>47.12</v>
      </c>
      <c r="G93" s="111" t="s">
        <v>49</v>
      </c>
      <c r="H93" s="64" t="s">
        <v>362</v>
      </c>
      <c r="I93" s="64" t="s">
        <v>363</v>
      </c>
      <c r="J93" s="111" t="s">
        <v>51</v>
      </c>
      <c r="K93" s="64" t="s">
        <v>364</v>
      </c>
      <c r="L93" s="64"/>
      <c r="M93" s="64" t="s">
        <v>60</v>
      </c>
      <c r="N93" s="63">
        <v>2.9</v>
      </c>
      <c r="O93" s="64"/>
      <c r="P93" s="64" t="s">
        <v>323</v>
      </c>
      <c r="Q93" s="21" t="str">
        <f ca="1">IFERROR(__xludf.DUMMYFUNCTION("IF(P93="""","""",IF(REGEXMATCH(UPPER(P93),""CITRATE""),""Citrate"",IF(REGEXMATCH(UPPER(P93),""ACETATE""),""Sodium Acetate"",IF(REGEXMATCH(UPPER(P93),""PBS""),""PBS"",IF(REGEXMATCH(UPPER(P93),""TRIS""),""Tris"",IF(REGEXMATCH(UPPER(P93),""HEPES""),""HEPES"""&amp;",IF(REGEXMATCH(UPPER(P93),""HISTIDINE""),""Histidine"",IF(REGEXMATCH(UPPER(P93),""SUCCINATE""),""Succinate"",IF(REGEXMATCH(UPPER(P93),""GLYCINE""),""Glycine"",P93)))))))))"),"Citrate")</f>
        <v>Citrate</v>
      </c>
      <c r="R93" s="25"/>
      <c r="S93" s="26">
        <v>10</v>
      </c>
      <c r="T93" s="101">
        <v>3</v>
      </c>
      <c r="U93" s="114"/>
      <c r="V93" s="23" t="s">
        <v>56</v>
      </c>
      <c r="W93" s="75" t="s">
        <v>365</v>
      </c>
      <c r="X93" s="75" t="s">
        <v>153</v>
      </c>
      <c r="Y93" s="75"/>
      <c r="Z93" s="75"/>
      <c r="AA93" s="109">
        <v>6.2</v>
      </c>
      <c r="AB93" s="90" t="s">
        <v>260</v>
      </c>
    </row>
    <row r="94" spans="1:28" ht="15.75" customHeight="1">
      <c r="A94" s="85">
        <v>91</v>
      </c>
      <c r="B94" s="80" t="s">
        <v>318</v>
      </c>
      <c r="C94" s="18" t="s">
        <v>319</v>
      </c>
      <c r="D94" s="81">
        <v>2023</v>
      </c>
      <c r="E94" s="117" t="s">
        <v>320</v>
      </c>
      <c r="F94" s="64">
        <v>42.86</v>
      </c>
      <c r="G94" s="111" t="s">
        <v>49</v>
      </c>
      <c r="H94" s="64" t="s">
        <v>337</v>
      </c>
      <c r="I94" s="64" t="s">
        <v>366</v>
      </c>
      <c r="J94" s="111" t="s">
        <v>51</v>
      </c>
      <c r="K94" s="64" t="s">
        <v>367</v>
      </c>
      <c r="L94" s="64"/>
      <c r="M94" s="64" t="s">
        <v>60</v>
      </c>
      <c r="N94" s="63">
        <v>25.7</v>
      </c>
      <c r="O94" s="64"/>
      <c r="P94" s="64" t="s">
        <v>323</v>
      </c>
      <c r="Q94" s="21" t="str">
        <f ca="1">IFERROR(__xludf.DUMMYFUNCTION("IF(P94="""","""",IF(REGEXMATCH(UPPER(P94),""CITRATE""),""Citrate"",IF(REGEXMATCH(UPPER(P94),""ACETATE""),""Sodium Acetate"",IF(REGEXMATCH(UPPER(P94),""PBS""),""PBS"",IF(REGEXMATCH(UPPER(P94),""TRIS""),""Tris"",IF(REGEXMATCH(UPPER(P94),""HEPES""),""HEPES"""&amp;",IF(REGEXMATCH(UPPER(P94),""HISTIDINE""),""Histidine"",IF(REGEXMATCH(UPPER(P94),""SUCCINATE""),""Succinate"",IF(REGEXMATCH(UPPER(P94),""GLYCINE""),""Glycine"",P94)))))))))"),"Citrate")</f>
        <v>Citrate</v>
      </c>
      <c r="R94" s="25"/>
      <c r="S94" s="26">
        <v>10</v>
      </c>
      <c r="T94" s="101">
        <v>3</v>
      </c>
      <c r="U94" s="114"/>
      <c r="V94" s="23" t="s">
        <v>56</v>
      </c>
      <c r="W94" s="75" t="s">
        <v>368</v>
      </c>
      <c r="X94" s="75" t="s">
        <v>89</v>
      </c>
      <c r="Y94" s="75"/>
      <c r="Z94" s="75"/>
      <c r="AA94" s="109">
        <v>6.03</v>
      </c>
      <c r="AB94" s="90" t="s">
        <v>260</v>
      </c>
    </row>
    <row r="95" spans="1:28" ht="15.75" customHeight="1">
      <c r="A95" s="85">
        <v>92</v>
      </c>
      <c r="B95" s="80" t="s">
        <v>318</v>
      </c>
      <c r="C95" s="18" t="s">
        <v>319</v>
      </c>
      <c r="D95" s="81">
        <v>2023</v>
      </c>
      <c r="E95" s="117" t="s">
        <v>320</v>
      </c>
      <c r="F95" s="64">
        <v>41.86</v>
      </c>
      <c r="G95" s="111" t="s">
        <v>49</v>
      </c>
      <c r="H95" s="64" t="s">
        <v>369</v>
      </c>
      <c r="I95" s="65">
        <v>46191</v>
      </c>
      <c r="J95" s="111" t="s">
        <v>51</v>
      </c>
      <c r="K95" s="64" t="s">
        <v>370</v>
      </c>
      <c r="L95" s="64"/>
      <c r="M95" s="64" t="s">
        <v>60</v>
      </c>
      <c r="N95" s="63">
        <v>18.5</v>
      </c>
      <c r="O95" s="64"/>
      <c r="P95" s="64" t="s">
        <v>323</v>
      </c>
      <c r="Q95" s="21" t="str">
        <f ca="1">IFERROR(__xludf.DUMMYFUNCTION("IF(P95="""","""",IF(REGEXMATCH(UPPER(P95),""CITRATE""),""Citrate"",IF(REGEXMATCH(UPPER(P95),""ACETATE""),""Sodium Acetate"",IF(REGEXMATCH(UPPER(P95),""PBS""),""PBS"",IF(REGEXMATCH(UPPER(P95),""TRIS""),""Tris"",IF(REGEXMATCH(UPPER(P95),""HEPES""),""HEPES"""&amp;",IF(REGEXMATCH(UPPER(P95),""HISTIDINE""),""Histidine"",IF(REGEXMATCH(UPPER(P95),""SUCCINATE""),""Succinate"",IF(REGEXMATCH(UPPER(P95),""GLYCINE""),""Glycine"",P95)))))))))"),"Citrate")</f>
        <v>Citrate</v>
      </c>
      <c r="R95" s="25"/>
      <c r="S95" s="26">
        <v>10</v>
      </c>
      <c r="T95" s="101">
        <v>3</v>
      </c>
      <c r="U95" s="114"/>
      <c r="V95" s="23" t="s">
        <v>56</v>
      </c>
      <c r="W95" s="75" t="s">
        <v>371</v>
      </c>
      <c r="X95" s="75" t="s">
        <v>97</v>
      </c>
      <c r="Y95" s="75"/>
      <c r="Z95" s="75"/>
      <c r="AA95" s="109">
        <v>5.75</v>
      </c>
      <c r="AB95" s="90" t="s">
        <v>260</v>
      </c>
    </row>
    <row r="96" spans="1:28" ht="15.75" customHeight="1">
      <c r="A96" s="85">
        <v>93</v>
      </c>
      <c r="B96" s="80" t="s">
        <v>318</v>
      </c>
      <c r="C96" s="18" t="s">
        <v>319</v>
      </c>
      <c r="D96" s="81">
        <v>2023</v>
      </c>
      <c r="E96" s="117" t="s">
        <v>320</v>
      </c>
      <c r="F96" s="64">
        <v>35</v>
      </c>
      <c r="G96" s="111" t="s">
        <v>49</v>
      </c>
      <c r="H96" s="64">
        <v>16</v>
      </c>
      <c r="I96" s="64" t="s">
        <v>372</v>
      </c>
      <c r="J96" s="111" t="s">
        <v>51</v>
      </c>
      <c r="K96" s="65">
        <v>46144</v>
      </c>
      <c r="L96" s="64"/>
      <c r="M96" s="64" t="s">
        <v>60</v>
      </c>
      <c r="N96" s="63">
        <v>31.5</v>
      </c>
      <c r="O96" s="64"/>
      <c r="P96" s="64" t="s">
        <v>323</v>
      </c>
      <c r="Q96" s="21" t="str">
        <f ca="1">IFERROR(__xludf.DUMMYFUNCTION("IF(P96="""","""",IF(REGEXMATCH(UPPER(P96),""CITRATE""),""Citrate"",IF(REGEXMATCH(UPPER(P96),""ACETATE""),""Sodium Acetate"",IF(REGEXMATCH(UPPER(P96),""PBS""),""PBS"",IF(REGEXMATCH(UPPER(P96),""TRIS""),""Tris"",IF(REGEXMATCH(UPPER(P96),""HEPES""),""HEPES"""&amp;",IF(REGEXMATCH(UPPER(P96),""HISTIDINE""),""Histidine"",IF(REGEXMATCH(UPPER(P96),""SUCCINATE""),""Succinate"",IF(REGEXMATCH(UPPER(P96),""GLYCINE""),""Glycine"",P96)))))))))"),"Citrate")</f>
        <v>Citrate</v>
      </c>
      <c r="R96" s="25"/>
      <c r="S96" s="26">
        <v>10</v>
      </c>
      <c r="T96" s="101">
        <v>3</v>
      </c>
      <c r="U96" s="114"/>
      <c r="V96" s="23" t="s">
        <v>56</v>
      </c>
      <c r="W96" s="75" t="s">
        <v>373</v>
      </c>
      <c r="X96" s="75" t="s">
        <v>89</v>
      </c>
      <c r="Y96" s="75"/>
      <c r="Z96" s="75"/>
      <c r="AA96" s="109">
        <v>6.47</v>
      </c>
      <c r="AB96" s="90" t="s">
        <v>260</v>
      </c>
    </row>
    <row r="97" spans="1:28" ht="15.75" customHeight="1">
      <c r="A97" s="85">
        <v>94</v>
      </c>
      <c r="B97" s="80" t="s">
        <v>318</v>
      </c>
      <c r="C97" s="18" t="s">
        <v>319</v>
      </c>
      <c r="D97" s="81">
        <v>2023</v>
      </c>
      <c r="E97" s="117" t="s">
        <v>320</v>
      </c>
      <c r="F97" s="64">
        <v>40</v>
      </c>
      <c r="G97" s="111" t="s">
        <v>49</v>
      </c>
      <c r="H97" s="64" t="s">
        <v>374</v>
      </c>
      <c r="I97" s="64" t="s">
        <v>375</v>
      </c>
      <c r="J97" s="111" t="s">
        <v>51</v>
      </c>
      <c r="K97" s="64" t="s">
        <v>376</v>
      </c>
      <c r="L97" s="64"/>
      <c r="M97" s="64" t="s">
        <v>60</v>
      </c>
      <c r="N97" s="63">
        <v>29.6</v>
      </c>
      <c r="O97" s="64"/>
      <c r="P97" s="64" t="s">
        <v>323</v>
      </c>
      <c r="Q97" s="21" t="str">
        <f ca="1">IFERROR(__xludf.DUMMYFUNCTION("IF(P97="""","""",IF(REGEXMATCH(UPPER(P97),""CITRATE""),""Citrate"",IF(REGEXMATCH(UPPER(P97),""ACETATE""),""Sodium Acetate"",IF(REGEXMATCH(UPPER(P97),""PBS""),""PBS"",IF(REGEXMATCH(UPPER(P97),""TRIS""),""Tris"",IF(REGEXMATCH(UPPER(P97),""HEPES""),""HEPES"""&amp;",IF(REGEXMATCH(UPPER(P97),""HISTIDINE""),""Histidine"",IF(REGEXMATCH(UPPER(P97),""SUCCINATE""),""Succinate"",IF(REGEXMATCH(UPPER(P97),""GLYCINE""),""Glycine"",P97)))))))))"),"Citrate")</f>
        <v>Citrate</v>
      </c>
      <c r="R97" s="25"/>
      <c r="S97" s="26">
        <v>10</v>
      </c>
      <c r="T97" s="101">
        <v>3</v>
      </c>
      <c r="U97" s="114"/>
      <c r="V97" s="23" t="s">
        <v>56</v>
      </c>
      <c r="W97" s="75" t="s">
        <v>377</v>
      </c>
      <c r="X97" s="75" t="s">
        <v>175</v>
      </c>
      <c r="Y97" s="75"/>
      <c r="Z97" s="75"/>
      <c r="AA97" s="87"/>
      <c r="AB97" s="90" t="s">
        <v>260</v>
      </c>
    </row>
    <row r="98" spans="1:28" ht="15.75" customHeight="1">
      <c r="A98" s="85">
        <v>95</v>
      </c>
      <c r="B98" s="80" t="s">
        <v>318</v>
      </c>
      <c r="C98" s="18" t="s">
        <v>319</v>
      </c>
      <c r="D98" s="81">
        <v>2023</v>
      </c>
      <c r="E98" s="117" t="s">
        <v>320</v>
      </c>
      <c r="F98" s="64">
        <v>37.840000000000003</v>
      </c>
      <c r="G98" s="111" t="s">
        <v>49</v>
      </c>
      <c r="H98" s="64" t="s">
        <v>351</v>
      </c>
      <c r="I98" s="64" t="s">
        <v>350</v>
      </c>
      <c r="J98" s="111" t="s">
        <v>51</v>
      </c>
      <c r="K98" s="65">
        <v>46205</v>
      </c>
      <c r="L98" s="64"/>
      <c r="M98" s="64" t="s">
        <v>60</v>
      </c>
      <c r="N98" s="63">
        <v>31.7</v>
      </c>
      <c r="O98" s="64"/>
      <c r="P98" s="64" t="s">
        <v>323</v>
      </c>
      <c r="Q98" s="21" t="str">
        <f ca="1">IFERROR(__xludf.DUMMYFUNCTION("IF(P98="""","""",IF(REGEXMATCH(UPPER(P98),""CITRATE""),""Citrate"",IF(REGEXMATCH(UPPER(P98),""ACETATE""),""Sodium Acetate"",IF(REGEXMATCH(UPPER(P98),""PBS""),""PBS"",IF(REGEXMATCH(UPPER(P98),""TRIS""),""Tris"",IF(REGEXMATCH(UPPER(P98),""HEPES""),""HEPES"""&amp;",IF(REGEXMATCH(UPPER(P98),""HISTIDINE""),""Histidine"",IF(REGEXMATCH(UPPER(P98),""SUCCINATE""),""Succinate"",IF(REGEXMATCH(UPPER(P98),""GLYCINE""),""Glycine"",P98)))))))))"),"Citrate")</f>
        <v>Citrate</v>
      </c>
      <c r="R98" s="25"/>
      <c r="S98" s="26">
        <v>10</v>
      </c>
      <c r="T98" s="101">
        <v>3</v>
      </c>
      <c r="U98" s="114"/>
      <c r="V98" s="23" t="s">
        <v>56</v>
      </c>
      <c r="W98" s="75">
        <v>81</v>
      </c>
      <c r="X98" s="75" t="s">
        <v>89</v>
      </c>
      <c r="Y98" s="75"/>
      <c r="Z98" s="75"/>
      <c r="AA98" s="87"/>
      <c r="AB98" s="90" t="s">
        <v>260</v>
      </c>
    </row>
    <row r="99" spans="1:28" ht="15.75" customHeight="1">
      <c r="A99" s="85">
        <v>96</v>
      </c>
      <c r="B99" s="80" t="s">
        <v>318</v>
      </c>
      <c r="C99" s="18" t="s">
        <v>319</v>
      </c>
      <c r="D99" s="81">
        <v>2023</v>
      </c>
      <c r="E99" s="117" t="s">
        <v>320</v>
      </c>
      <c r="F99" s="64">
        <v>35.9</v>
      </c>
      <c r="G99" s="111" t="s">
        <v>49</v>
      </c>
      <c r="H99" s="64" t="s">
        <v>378</v>
      </c>
      <c r="I99" s="64" t="s">
        <v>379</v>
      </c>
      <c r="J99" s="111" t="s">
        <v>51</v>
      </c>
      <c r="K99" s="64" t="s">
        <v>380</v>
      </c>
      <c r="L99" s="64"/>
      <c r="M99" s="64" t="s">
        <v>60</v>
      </c>
      <c r="N99" s="63">
        <v>38.200000000000003</v>
      </c>
      <c r="O99" s="64"/>
      <c r="P99" s="64" t="s">
        <v>323</v>
      </c>
      <c r="Q99" s="21" t="str">
        <f ca="1">IFERROR(__xludf.DUMMYFUNCTION("IF(P99="""","""",IF(REGEXMATCH(UPPER(P99),""CITRATE""),""Citrate"",IF(REGEXMATCH(UPPER(P99),""ACETATE""),""Sodium Acetate"",IF(REGEXMATCH(UPPER(P99),""PBS""),""PBS"",IF(REGEXMATCH(UPPER(P99),""TRIS""),""Tris"",IF(REGEXMATCH(UPPER(P99),""HEPES""),""HEPES"""&amp;",IF(REGEXMATCH(UPPER(P99),""HISTIDINE""),""Histidine"",IF(REGEXMATCH(UPPER(P99),""SUCCINATE""),""Succinate"",IF(REGEXMATCH(UPPER(P99),""GLYCINE""),""Glycine"",P99)))))))))"),"Citrate")</f>
        <v>Citrate</v>
      </c>
      <c r="R99" s="25"/>
      <c r="S99" s="26">
        <v>10</v>
      </c>
      <c r="T99" s="101">
        <v>3</v>
      </c>
      <c r="U99" s="114"/>
      <c r="V99" s="23" t="s">
        <v>56</v>
      </c>
      <c r="W99" s="75" t="s">
        <v>381</v>
      </c>
      <c r="X99" s="75" t="s">
        <v>89</v>
      </c>
      <c r="Y99" s="75"/>
      <c r="Z99" s="75"/>
      <c r="AA99" s="87"/>
      <c r="AB99" s="90" t="s">
        <v>260</v>
      </c>
    </row>
    <row r="100" spans="1:28" ht="15.75" customHeight="1">
      <c r="A100" s="85">
        <v>97</v>
      </c>
      <c r="B100" s="80" t="s">
        <v>318</v>
      </c>
      <c r="C100" s="18" t="s">
        <v>319</v>
      </c>
      <c r="D100" s="81">
        <v>2023</v>
      </c>
      <c r="E100" s="117" t="s">
        <v>320</v>
      </c>
      <c r="F100" s="64">
        <v>37.840000000000003</v>
      </c>
      <c r="G100" s="111" t="s">
        <v>49</v>
      </c>
      <c r="H100" s="64" t="s">
        <v>382</v>
      </c>
      <c r="I100" s="119">
        <v>46108</v>
      </c>
      <c r="J100" s="111" t="s">
        <v>51</v>
      </c>
      <c r="K100" s="65">
        <v>46205</v>
      </c>
      <c r="L100" s="64"/>
      <c r="M100" s="64" t="s">
        <v>60</v>
      </c>
      <c r="N100" s="63">
        <v>34.4</v>
      </c>
      <c r="O100" s="64"/>
      <c r="P100" s="64" t="s">
        <v>323</v>
      </c>
      <c r="Q100" s="21" t="str">
        <f ca="1">IFERROR(__xludf.DUMMYFUNCTION("IF(P100="""","""",IF(REGEXMATCH(UPPER(P100),""CITRATE""),""Citrate"",IF(REGEXMATCH(UPPER(P100),""ACETATE""),""Sodium Acetate"",IF(REGEXMATCH(UPPER(P100),""PBS""),""PBS"",IF(REGEXMATCH(UPPER(P100),""TRIS""),""Tris"",IF(REGEXMATCH(UPPER(P100),""HEPES""),""H"&amp;"EPES"",IF(REGEXMATCH(UPPER(P100),""HISTIDINE""),""Histidine"",IF(REGEXMATCH(UPPER(P100),""SUCCINATE""),""Succinate"",IF(REGEXMATCH(UPPER(P100),""GLYCINE""),""Glycine"",P100)))))))))"),"Citrate")</f>
        <v>Citrate</v>
      </c>
      <c r="R100" s="25"/>
      <c r="S100" s="26">
        <v>10</v>
      </c>
      <c r="T100" s="101">
        <v>3</v>
      </c>
      <c r="U100" s="114"/>
      <c r="V100" s="23" t="s">
        <v>56</v>
      </c>
      <c r="W100" s="75" t="s">
        <v>383</v>
      </c>
      <c r="X100" s="75" t="s">
        <v>97</v>
      </c>
      <c r="Y100" s="75"/>
      <c r="Z100" s="75"/>
      <c r="AA100" s="87"/>
      <c r="AB100" s="90" t="s">
        <v>260</v>
      </c>
    </row>
    <row r="101" spans="1:28" ht="15.75" customHeight="1">
      <c r="A101" s="85">
        <v>98</v>
      </c>
      <c r="B101" s="80" t="s">
        <v>318</v>
      </c>
      <c r="C101" s="18" t="s">
        <v>319</v>
      </c>
      <c r="D101" s="81">
        <v>2023</v>
      </c>
      <c r="E101" s="117" t="s">
        <v>320</v>
      </c>
      <c r="F101" s="64">
        <v>35.9</v>
      </c>
      <c r="G101" s="111" t="s">
        <v>49</v>
      </c>
      <c r="H101" s="64" t="s">
        <v>384</v>
      </c>
      <c r="I101" s="64" t="s">
        <v>385</v>
      </c>
      <c r="J101" s="111" t="s">
        <v>51</v>
      </c>
      <c r="K101" s="64" t="s">
        <v>380</v>
      </c>
      <c r="L101" s="64"/>
      <c r="M101" s="64" t="s">
        <v>60</v>
      </c>
      <c r="N101" s="63">
        <v>42.6</v>
      </c>
      <c r="O101" s="64"/>
      <c r="P101" s="64" t="s">
        <v>323</v>
      </c>
      <c r="Q101" s="21" t="str">
        <f ca="1">IFERROR(__xludf.DUMMYFUNCTION("IF(P101="""","""",IF(REGEXMATCH(UPPER(P101),""CITRATE""),""Citrate"",IF(REGEXMATCH(UPPER(P101),""ACETATE""),""Sodium Acetate"",IF(REGEXMATCH(UPPER(P101),""PBS""),""PBS"",IF(REGEXMATCH(UPPER(P101),""TRIS""),""Tris"",IF(REGEXMATCH(UPPER(P101),""HEPES""),""H"&amp;"EPES"",IF(REGEXMATCH(UPPER(P101),""HISTIDINE""),""Histidine"",IF(REGEXMATCH(UPPER(P101),""SUCCINATE""),""Succinate"",IF(REGEXMATCH(UPPER(P101),""GLYCINE""),""Glycine"",P101)))))))))"),"Citrate")</f>
        <v>Citrate</v>
      </c>
      <c r="R101" s="25"/>
      <c r="S101" s="26">
        <v>10</v>
      </c>
      <c r="T101" s="101">
        <v>3</v>
      </c>
      <c r="U101" s="114"/>
      <c r="V101" s="23" t="s">
        <v>56</v>
      </c>
      <c r="W101" s="75" t="s">
        <v>386</v>
      </c>
      <c r="X101" s="75" t="s">
        <v>89</v>
      </c>
      <c r="Y101" s="75"/>
      <c r="Z101" s="75"/>
      <c r="AA101" s="87"/>
      <c r="AB101" s="90" t="s">
        <v>260</v>
      </c>
    </row>
    <row r="102" spans="1:28" ht="15.75" customHeight="1">
      <c r="A102" s="85">
        <v>99</v>
      </c>
      <c r="B102" s="80" t="s">
        <v>318</v>
      </c>
      <c r="C102" s="18" t="s">
        <v>319</v>
      </c>
      <c r="D102" s="81">
        <v>2023</v>
      </c>
      <c r="E102" s="117" t="s">
        <v>320</v>
      </c>
      <c r="F102" s="64">
        <v>34.15</v>
      </c>
      <c r="G102" s="111" t="s">
        <v>49</v>
      </c>
      <c r="H102" s="64" t="s">
        <v>387</v>
      </c>
      <c r="I102" s="64" t="s">
        <v>388</v>
      </c>
      <c r="J102" s="111" t="s">
        <v>51</v>
      </c>
      <c r="K102" s="64" t="s">
        <v>389</v>
      </c>
      <c r="L102" s="64"/>
      <c r="M102" s="64" t="s">
        <v>60</v>
      </c>
      <c r="N102" s="63">
        <v>34.9</v>
      </c>
      <c r="O102" s="64"/>
      <c r="P102" s="64" t="s">
        <v>323</v>
      </c>
      <c r="Q102" s="21" t="str">
        <f ca="1">IFERROR(__xludf.DUMMYFUNCTION("IF(P102="""","""",IF(REGEXMATCH(UPPER(P102),""CITRATE""),""Citrate"",IF(REGEXMATCH(UPPER(P102),""ACETATE""),""Sodium Acetate"",IF(REGEXMATCH(UPPER(P102),""PBS""),""PBS"",IF(REGEXMATCH(UPPER(P102),""TRIS""),""Tris"",IF(REGEXMATCH(UPPER(P102),""HEPES""),""H"&amp;"EPES"",IF(REGEXMATCH(UPPER(P102),""HISTIDINE""),""Histidine"",IF(REGEXMATCH(UPPER(P102),""SUCCINATE""),""Succinate"",IF(REGEXMATCH(UPPER(P102),""GLYCINE""),""Glycine"",P102)))))))))"),"Citrate")</f>
        <v>Citrate</v>
      </c>
      <c r="R102" s="25"/>
      <c r="S102" s="26">
        <v>10</v>
      </c>
      <c r="T102" s="101">
        <v>3</v>
      </c>
      <c r="U102" s="114"/>
      <c r="V102" s="23" t="s">
        <v>56</v>
      </c>
      <c r="W102" s="75" t="s">
        <v>390</v>
      </c>
      <c r="X102" s="75" t="s">
        <v>112</v>
      </c>
      <c r="Y102" s="75"/>
      <c r="Z102" s="75"/>
      <c r="AA102" s="87"/>
      <c r="AB102" s="90" t="s">
        <v>260</v>
      </c>
    </row>
    <row r="103" spans="1:28" ht="15.75" customHeight="1">
      <c r="A103" s="85">
        <v>100</v>
      </c>
      <c r="B103" s="80" t="s">
        <v>318</v>
      </c>
      <c r="C103" s="18" t="s">
        <v>319</v>
      </c>
      <c r="D103" s="81">
        <v>2023</v>
      </c>
      <c r="E103" s="117" t="s">
        <v>320</v>
      </c>
      <c r="F103" s="64">
        <v>43.24</v>
      </c>
      <c r="G103" s="111" t="s">
        <v>49</v>
      </c>
      <c r="H103" s="64" t="s">
        <v>382</v>
      </c>
      <c r="I103" s="64" t="s">
        <v>350</v>
      </c>
      <c r="J103" s="111" t="s">
        <v>51</v>
      </c>
      <c r="K103" s="65">
        <v>46205</v>
      </c>
      <c r="L103" s="64"/>
      <c r="M103" s="64" t="s">
        <v>60</v>
      </c>
      <c r="N103" s="63">
        <v>25.8</v>
      </c>
      <c r="O103" s="64"/>
      <c r="P103" s="64" t="s">
        <v>323</v>
      </c>
      <c r="Q103" s="21" t="str">
        <f ca="1">IFERROR(__xludf.DUMMYFUNCTION("IF(P103="""","""",IF(REGEXMATCH(UPPER(P103),""CITRATE""),""Citrate"",IF(REGEXMATCH(UPPER(P103),""ACETATE""),""Sodium Acetate"",IF(REGEXMATCH(UPPER(P103),""PBS""),""PBS"",IF(REGEXMATCH(UPPER(P103),""TRIS""),""Tris"",IF(REGEXMATCH(UPPER(P103),""HEPES""),""H"&amp;"EPES"",IF(REGEXMATCH(UPPER(P103),""HISTIDINE""),""Histidine"",IF(REGEXMATCH(UPPER(P103),""SUCCINATE""),""Succinate"",IF(REGEXMATCH(UPPER(P103),""GLYCINE""),""Glycine"",P103)))))))))"),"Citrate")</f>
        <v>Citrate</v>
      </c>
      <c r="R103" s="25"/>
      <c r="S103" s="26">
        <v>10</v>
      </c>
      <c r="T103" s="101">
        <v>3</v>
      </c>
      <c r="U103" s="114"/>
      <c r="V103" s="23" t="s">
        <v>56</v>
      </c>
      <c r="W103" s="75" t="s">
        <v>391</v>
      </c>
      <c r="X103" s="75" t="s">
        <v>104</v>
      </c>
      <c r="Y103" s="75"/>
      <c r="Z103" s="75"/>
      <c r="AA103" s="87"/>
      <c r="AB103" s="90" t="s">
        <v>260</v>
      </c>
    </row>
    <row r="104" spans="1:28" ht="15.75" customHeight="1">
      <c r="A104" s="85">
        <v>101</v>
      </c>
      <c r="B104" s="80" t="s">
        <v>318</v>
      </c>
      <c r="C104" s="18" t="s">
        <v>319</v>
      </c>
      <c r="D104" s="81">
        <v>2023</v>
      </c>
      <c r="E104" s="117" t="s">
        <v>320</v>
      </c>
      <c r="F104" s="64">
        <v>41.03</v>
      </c>
      <c r="G104" s="111" t="s">
        <v>49</v>
      </c>
      <c r="H104" s="64" t="s">
        <v>384</v>
      </c>
      <c r="I104" s="64" t="s">
        <v>379</v>
      </c>
      <c r="J104" s="111" t="s">
        <v>51</v>
      </c>
      <c r="K104" s="64" t="s">
        <v>380</v>
      </c>
      <c r="L104" s="64"/>
      <c r="M104" s="64" t="s">
        <v>60</v>
      </c>
      <c r="N104" s="63">
        <v>28.8</v>
      </c>
      <c r="O104" s="64"/>
      <c r="P104" s="64" t="s">
        <v>323</v>
      </c>
      <c r="Q104" s="21" t="str">
        <f ca="1">IFERROR(__xludf.DUMMYFUNCTION("IF(P104="""","""",IF(REGEXMATCH(UPPER(P104),""CITRATE""),""Citrate"",IF(REGEXMATCH(UPPER(P104),""ACETATE""),""Sodium Acetate"",IF(REGEXMATCH(UPPER(P104),""PBS""),""PBS"",IF(REGEXMATCH(UPPER(P104),""TRIS""),""Tris"",IF(REGEXMATCH(UPPER(P104),""HEPES""),""H"&amp;"EPES"",IF(REGEXMATCH(UPPER(P104),""HISTIDINE""),""Histidine"",IF(REGEXMATCH(UPPER(P104),""SUCCINATE""),""Succinate"",IF(REGEXMATCH(UPPER(P104),""GLYCINE""),""Glycine"",P104)))))))))"),"Citrate")</f>
        <v>Citrate</v>
      </c>
      <c r="R104" s="25"/>
      <c r="S104" s="26">
        <v>10</v>
      </c>
      <c r="T104" s="101">
        <v>3</v>
      </c>
      <c r="U104" s="114"/>
      <c r="V104" s="23" t="s">
        <v>56</v>
      </c>
      <c r="W104" s="75" t="s">
        <v>392</v>
      </c>
      <c r="X104" s="75" t="s">
        <v>121</v>
      </c>
      <c r="Y104" s="75"/>
      <c r="Z104" s="75"/>
      <c r="AA104" s="87"/>
      <c r="AB104" s="90" t="s">
        <v>260</v>
      </c>
    </row>
    <row r="105" spans="1:28" ht="15.75" customHeight="1">
      <c r="A105" s="85">
        <v>102</v>
      </c>
      <c r="B105" s="80" t="s">
        <v>318</v>
      </c>
      <c r="C105" s="18" t="s">
        <v>319</v>
      </c>
      <c r="D105" s="81">
        <v>2023</v>
      </c>
      <c r="E105" s="117" t="s">
        <v>320</v>
      </c>
      <c r="F105" s="64">
        <v>39.020000000000003</v>
      </c>
      <c r="G105" s="111" t="s">
        <v>49</v>
      </c>
      <c r="H105" s="64" t="s">
        <v>387</v>
      </c>
      <c r="I105" s="64" t="s">
        <v>393</v>
      </c>
      <c r="J105" s="111" t="s">
        <v>51</v>
      </c>
      <c r="K105" s="64" t="s">
        <v>389</v>
      </c>
      <c r="L105" s="64"/>
      <c r="M105" s="64" t="s">
        <v>60</v>
      </c>
      <c r="N105" s="63">
        <v>24.9</v>
      </c>
      <c r="O105" s="64"/>
      <c r="P105" s="64" t="s">
        <v>323</v>
      </c>
      <c r="Q105" s="21" t="str">
        <f ca="1">IFERROR(__xludf.DUMMYFUNCTION("IF(P105="""","""",IF(REGEXMATCH(UPPER(P105),""CITRATE""),""Citrate"",IF(REGEXMATCH(UPPER(P105),""ACETATE""),""Sodium Acetate"",IF(REGEXMATCH(UPPER(P105),""PBS""),""PBS"",IF(REGEXMATCH(UPPER(P105),""TRIS""),""Tris"",IF(REGEXMATCH(UPPER(P105),""HEPES""),""H"&amp;"EPES"",IF(REGEXMATCH(UPPER(P105),""HISTIDINE""),""Histidine"",IF(REGEXMATCH(UPPER(P105),""SUCCINATE""),""Succinate"",IF(REGEXMATCH(UPPER(P105),""GLYCINE""),""Glycine"",P105)))))))))"),"Citrate")</f>
        <v>Citrate</v>
      </c>
      <c r="R105" s="25"/>
      <c r="S105" s="26">
        <v>10</v>
      </c>
      <c r="T105" s="101">
        <v>3</v>
      </c>
      <c r="U105" s="114"/>
      <c r="V105" s="23" t="s">
        <v>56</v>
      </c>
      <c r="W105" s="75" t="s">
        <v>394</v>
      </c>
      <c r="X105" s="75" t="s">
        <v>180</v>
      </c>
      <c r="Y105" s="75"/>
      <c r="Z105" s="75"/>
      <c r="AA105" s="87"/>
      <c r="AB105" s="90" t="s">
        <v>260</v>
      </c>
    </row>
    <row r="106" spans="1:28" ht="15.75" customHeight="1">
      <c r="A106" s="85">
        <v>103</v>
      </c>
      <c r="B106" s="80" t="s">
        <v>318</v>
      </c>
      <c r="C106" s="18" t="s">
        <v>319</v>
      </c>
      <c r="D106" s="81">
        <v>2023</v>
      </c>
      <c r="E106" s="117" t="s">
        <v>320</v>
      </c>
      <c r="F106" s="64">
        <v>41.03</v>
      </c>
      <c r="G106" s="111" t="s">
        <v>49</v>
      </c>
      <c r="H106" s="64" t="s">
        <v>395</v>
      </c>
      <c r="I106" s="64" t="s">
        <v>385</v>
      </c>
      <c r="J106" s="111" t="s">
        <v>51</v>
      </c>
      <c r="K106" s="64" t="s">
        <v>380</v>
      </c>
      <c r="L106" s="64"/>
      <c r="M106" s="64" t="s">
        <v>60</v>
      </c>
      <c r="N106" s="63">
        <v>34.4</v>
      </c>
      <c r="O106" s="64"/>
      <c r="P106" s="64" t="s">
        <v>323</v>
      </c>
      <c r="Q106" s="21" t="str">
        <f ca="1">IFERROR(__xludf.DUMMYFUNCTION("IF(P106="""","""",IF(REGEXMATCH(UPPER(P106),""CITRATE""),""Citrate"",IF(REGEXMATCH(UPPER(P106),""ACETATE""),""Sodium Acetate"",IF(REGEXMATCH(UPPER(P106),""PBS""),""PBS"",IF(REGEXMATCH(UPPER(P106),""TRIS""),""Tris"",IF(REGEXMATCH(UPPER(P106),""HEPES""),""H"&amp;"EPES"",IF(REGEXMATCH(UPPER(P106),""HISTIDINE""),""Histidine"",IF(REGEXMATCH(UPPER(P106),""SUCCINATE""),""Succinate"",IF(REGEXMATCH(UPPER(P106),""GLYCINE""),""Glycine"",P106)))))))))"),"Citrate")</f>
        <v>Citrate</v>
      </c>
      <c r="R106" s="25"/>
      <c r="S106" s="26">
        <v>10</v>
      </c>
      <c r="T106" s="101">
        <v>3</v>
      </c>
      <c r="U106" s="114"/>
      <c r="V106" s="23" t="s">
        <v>56</v>
      </c>
      <c r="W106" s="75" t="s">
        <v>396</v>
      </c>
      <c r="X106" s="75" t="s">
        <v>267</v>
      </c>
      <c r="Y106" s="75"/>
      <c r="Z106" s="75"/>
      <c r="AA106" s="87"/>
      <c r="AB106" s="90" t="s">
        <v>260</v>
      </c>
    </row>
    <row r="107" spans="1:28" ht="15.75" customHeight="1">
      <c r="A107" s="85">
        <v>104</v>
      </c>
      <c r="B107" s="80" t="s">
        <v>318</v>
      </c>
      <c r="C107" s="18" t="s">
        <v>319</v>
      </c>
      <c r="D107" s="81">
        <v>2023</v>
      </c>
      <c r="E107" s="117" t="s">
        <v>320</v>
      </c>
      <c r="F107" s="64">
        <v>39.020000000000003</v>
      </c>
      <c r="G107" s="111" t="s">
        <v>49</v>
      </c>
      <c r="H107" s="64" t="s">
        <v>397</v>
      </c>
      <c r="I107" s="64" t="s">
        <v>388</v>
      </c>
      <c r="J107" s="111" t="s">
        <v>51</v>
      </c>
      <c r="K107" s="64" t="s">
        <v>389</v>
      </c>
      <c r="L107" s="64"/>
      <c r="M107" s="64" t="s">
        <v>60</v>
      </c>
      <c r="N107" s="63">
        <v>29.5</v>
      </c>
      <c r="O107" s="64"/>
      <c r="P107" s="64" t="s">
        <v>323</v>
      </c>
      <c r="Q107" s="21" t="str">
        <f ca="1">IFERROR(__xludf.DUMMYFUNCTION("IF(P107="""","""",IF(REGEXMATCH(UPPER(P107),""CITRATE""),""Citrate"",IF(REGEXMATCH(UPPER(P107),""ACETATE""),""Sodium Acetate"",IF(REGEXMATCH(UPPER(P107),""PBS""),""PBS"",IF(REGEXMATCH(UPPER(P107),""TRIS""),""Tris"",IF(REGEXMATCH(UPPER(P107),""HEPES""),""H"&amp;"EPES"",IF(REGEXMATCH(UPPER(P107),""HISTIDINE""),""Histidine"",IF(REGEXMATCH(UPPER(P107),""SUCCINATE""),""Succinate"",IF(REGEXMATCH(UPPER(P107),""GLYCINE""),""Glycine"",P107)))))))))"),"Citrate")</f>
        <v>Citrate</v>
      </c>
      <c r="R107" s="25"/>
      <c r="S107" s="26">
        <v>10</v>
      </c>
      <c r="T107" s="101">
        <v>3</v>
      </c>
      <c r="U107" s="114"/>
      <c r="V107" s="23" t="s">
        <v>56</v>
      </c>
      <c r="W107" s="75" t="s">
        <v>398</v>
      </c>
      <c r="X107" s="75" t="s">
        <v>267</v>
      </c>
      <c r="Y107" s="75"/>
      <c r="Z107" s="75"/>
      <c r="AA107" s="87"/>
      <c r="AB107" s="90" t="s">
        <v>260</v>
      </c>
    </row>
    <row r="108" spans="1:28" ht="15.75" customHeight="1">
      <c r="A108" s="85">
        <v>105</v>
      </c>
      <c r="B108" s="80" t="s">
        <v>318</v>
      </c>
      <c r="C108" s="18" t="s">
        <v>319</v>
      </c>
      <c r="D108" s="81">
        <v>2023</v>
      </c>
      <c r="E108" s="117" t="s">
        <v>320</v>
      </c>
      <c r="F108" s="64">
        <v>37.21</v>
      </c>
      <c r="G108" s="111" t="s">
        <v>49</v>
      </c>
      <c r="H108" s="64" t="s">
        <v>369</v>
      </c>
      <c r="I108" s="64" t="s">
        <v>353</v>
      </c>
      <c r="J108" s="111" t="s">
        <v>51</v>
      </c>
      <c r="K108" s="64" t="s">
        <v>370</v>
      </c>
      <c r="L108" s="64"/>
      <c r="M108" s="64" t="s">
        <v>60</v>
      </c>
      <c r="N108" s="63">
        <v>30.8</v>
      </c>
      <c r="O108" s="64"/>
      <c r="P108" s="64" t="s">
        <v>323</v>
      </c>
      <c r="Q108" s="21" t="str">
        <f ca="1">IFERROR(__xludf.DUMMYFUNCTION("IF(P108="""","""",IF(REGEXMATCH(UPPER(P108),""CITRATE""),""Citrate"",IF(REGEXMATCH(UPPER(P108),""ACETATE""),""Sodium Acetate"",IF(REGEXMATCH(UPPER(P108),""PBS""),""PBS"",IF(REGEXMATCH(UPPER(P108),""TRIS""),""Tris"",IF(REGEXMATCH(UPPER(P108),""HEPES""),""H"&amp;"EPES"",IF(REGEXMATCH(UPPER(P108),""HISTIDINE""),""Histidine"",IF(REGEXMATCH(UPPER(P108),""SUCCINATE""),""Succinate"",IF(REGEXMATCH(UPPER(P108),""GLYCINE""),""Glycine"",P108)))))))))"),"Citrate")</f>
        <v>Citrate</v>
      </c>
      <c r="R108" s="25"/>
      <c r="S108" s="26">
        <v>10</v>
      </c>
      <c r="T108" s="101">
        <v>3</v>
      </c>
      <c r="U108" s="114"/>
      <c r="V108" s="23" t="s">
        <v>56</v>
      </c>
      <c r="W108" s="75" t="s">
        <v>399</v>
      </c>
      <c r="X108" s="75" t="s">
        <v>400</v>
      </c>
      <c r="Y108" s="75"/>
      <c r="Z108" s="75"/>
      <c r="AA108" s="109"/>
      <c r="AB108" s="90" t="s">
        <v>260</v>
      </c>
    </row>
    <row r="109" spans="1:28" ht="15.75" customHeight="1">
      <c r="A109" s="85">
        <v>106</v>
      </c>
      <c r="B109" s="80" t="s">
        <v>401</v>
      </c>
      <c r="C109" s="18" t="s">
        <v>402</v>
      </c>
      <c r="D109" s="81">
        <v>2025</v>
      </c>
      <c r="E109" s="117" t="s">
        <v>403</v>
      </c>
      <c r="F109" s="64">
        <v>35</v>
      </c>
      <c r="G109" s="111" t="s">
        <v>49</v>
      </c>
      <c r="H109" s="64">
        <v>16</v>
      </c>
      <c r="I109" s="64" t="s">
        <v>372</v>
      </c>
      <c r="J109" s="111" t="s">
        <v>51</v>
      </c>
      <c r="K109" s="65">
        <v>46144</v>
      </c>
      <c r="L109" s="64"/>
      <c r="M109" s="64" t="s">
        <v>404</v>
      </c>
      <c r="N109" s="63"/>
      <c r="O109" s="64">
        <v>10</v>
      </c>
      <c r="P109" s="64" t="s">
        <v>323</v>
      </c>
      <c r="Q109" s="21" t="str">
        <f ca="1">IFERROR(__xludf.DUMMYFUNCTION("IF(P109="""","""",IF(REGEXMATCH(UPPER(P109),""CITRATE""),""Citrate"",IF(REGEXMATCH(UPPER(P109),""ACETATE""),""Sodium Acetate"",IF(REGEXMATCH(UPPER(P109),""PBS""),""PBS"",IF(REGEXMATCH(UPPER(P109),""TRIS""),""Tris"",IF(REGEXMATCH(UPPER(P109),""HEPES""),""H"&amp;"EPES"",IF(REGEXMATCH(UPPER(P109),""HISTIDINE""),""Histidine"",IF(REGEXMATCH(UPPER(P109),""SUCCINATE""),""Succinate"",IF(REGEXMATCH(UPPER(P109),""GLYCINE""),""Glycine"",P109)))))))))"),"Citrate")</f>
        <v>Citrate</v>
      </c>
      <c r="R109" s="25"/>
      <c r="S109" s="26">
        <v>10</v>
      </c>
      <c r="T109" s="101"/>
      <c r="U109" s="114"/>
      <c r="V109" s="23" t="s">
        <v>56</v>
      </c>
      <c r="W109" s="75" t="s">
        <v>405</v>
      </c>
      <c r="X109" s="75" t="s">
        <v>406</v>
      </c>
      <c r="Y109" s="75"/>
      <c r="Z109" s="75" t="s">
        <v>407</v>
      </c>
      <c r="AA109" s="109">
        <v>5.93</v>
      </c>
      <c r="AB109" s="90"/>
    </row>
    <row r="110" spans="1:28" ht="15.75" customHeight="1">
      <c r="A110" s="85">
        <v>107</v>
      </c>
      <c r="B110" s="80" t="s">
        <v>401</v>
      </c>
      <c r="C110" s="18" t="s">
        <v>402</v>
      </c>
      <c r="D110" s="81">
        <v>2025</v>
      </c>
      <c r="E110" s="117" t="s">
        <v>403</v>
      </c>
      <c r="F110" s="64">
        <v>35</v>
      </c>
      <c r="G110" s="111" t="s">
        <v>49</v>
      </c>
      <c r="H110" s="64">
        <v>16</v>
      </c>
      <c r="I110" s="64" t="s">
        <v>372</v>
      </c>
      <c r="J110" s="111" t="s">
        <v>51</v>
      </c>
      <c r="K110" s="65">
        <v>46144</v>
      </c>
      <c r="L110" s="64"/>
      <c r="M110" s="64" t="s">
        <v>60</v>
      </c>
      <c r="N110" s="63"/>
      <c r="O110" s="64">
        <v>10</v>
      </c>
      <c r="P110" s="64" t="s">
        <v>323</v>
      </c>
      <c r="Q110" s="21" t="str">
        <f ca="1">IFERROR(__xludf.DUMMYFUNCTION("IF(P110="""","""",IF(REGEXMATCH(UPPER(P110),""CITRATE""),""Citrate"",IF(REGEXMATCH(UPPER(P110),""ACETATE""),""Sodium Acetate"",IF(REGEXMATCH(UPPER(P110),""PBS""),""PBS"",IF(REGEXMATCH(UPPER(P110),""TRIS""),""Tris"",IF(REGEXMATCH(UPPER(P110),""HEPES""),""H"&amp;"EPES"",IF(REGEXMATCH(UPPER(P110),""HISTIDINE""),""Histidine"",IF(REGEXMATCH(UPPER(P110),""SUCCINATE""),""Succinate"",IF(REGEXMATCH(UPPER(P110),""GLYCINE""),""Glycine"",P110)))))))))"),"Citrate")</f>
        <v>Citrate</v>
      </c>
      <c r="R110" s="25"/>
      <c r="S110" s="26">
        <v>10</v>
      </c>
      <c r="T110" s="101"/>
      <c r="U110" s="114"/>
      <c r="V110" s="23" t="s">
        <v>56</v>
      </c>
      <c r="W110" s="75" t="s">
        <v>408</v>
      </c>
      <c r="X110" s="75" t="s">
        <v>409</v>
      </c>
      <c r="Y110" s="75"/>
      <c r="Z110" s="75" t="s">
        <v>410</v>
      </c>
      <c r="AA110" s="109">
        <v>5.82</v>
      </c>
      <c r="AB110" s="90"/>
    </row>
    <row r="111" spans="1:28" ht="15.75" customHeight="1">
      <c r="A111" s="85">
        <v>108</v>
      </c>
      <c r="B111" s="80" t="s">
        <v>401</v>
      </c>
      <c r="C111" s="18" t="s">
        <v>402</v>
      </c>
      <c r="D111" s="81">
        <v>2025</v>
      </c>
      <c r="E111" s="117" t="s">
        <v>411</v>
      </c>
      <c r="F111" s="64">
        <v>35</v>
      </c>
      <c r="G111" s="111" t="s">
        <v>49</v>
      </c>
      <c r="H111" s="64">
        <v>24</v>
      </c>
      <c r="I111" s="64" t="s">
        <v>372</v>
      </c>
      <c r="J111" s="111" t="s">
        <v>51</v>
      </c>
      <c r="K111" s="65">
        <v>46144</v>
      </c>
      <c r="L111" s="64"/>
      <c r="M111" s="64" t="s">
        <v>404</v>
      </c>
      <c r="N111" s="63"/>
      <c r="O111" s="64">
        <v>10</v>
      </c>
      <c r="P111" s="64" t="s">
        <v>323</v>
      </c>
      <c r="Q111" s="21" t="str">
        <f ca="1">IFERROR(__xludf.DUMMYFUNCTION("IF(P111="""","""",IF(REGEXMATCH(UPPER(P111),""CITRATE""),""Citrate"",IF(REGEXMATCH(UPPER(P111),""ACETATE""),""Sodium Acetate"",IF(REGEXMATCH(UPPER(P111),""PBS""),""PBS"",IF(REGEXMATCH(UPPER(P111),""TRIS""),""Tris"",IF(REGEXMATCH(UPPER(P111),""HEPES""),""H"&amp;"EPES"",IF(REGEXMATCH(UPPER(P111),""HISTIDINE""),""Histidine"",IF(REGEXMATCH(UPPER(P111),""SUCCINATE""),""Succinate"",IF(REGEXMATCH(UPPER(P111),""GLYCINE""),""Glycine"",P111)))))))))"),"Citrate")</f>
        <v>Citrate</v>
      </c>
      <c r="R111" s="25"/>
      <c r="S111" s="26">
        <v>10</v>
      </c>
      <c r="T111" s="101"/>
      <c r="U111" s="114"/>
      <c r="V111" s="23" t="s">
        <v>56</v>
      </c>
      <c r="W111" s="75" t="s">
        <v>412</v>
      </c>
      <c r="X111" s="75" t="s">
        <v>413</v>
      </c>
      <c r="Y111" s="75"/>
      <c r="Z111" s="75" t="s">
        <v>414</v>
      </c>
      <c r="AA111" s="109">
        <v>5.78</v>
      </c>
      <c r="AB111" s="90"/>
    </row>
    <row r="112" spans="1:28" ht="15.75" customHeight="1">
      <c r="A112" s="85">
        <v>109</v>
      </c>
      <c r="B112" s="80" t="s">
        <v>401</v>
      </c>
      <c r="C112" s="18" t="s">
        <v>402</v>
      </c>
      <c r="D112" s="81">
        <v>2025</v>
      </c>
      <c r="E112" s="117" t="s">
        <v>411</v>
      </c>
      <c r="F112" s="64">
        <v>35</v>
      </c>
      <c r="G112" s="111" t="s">
        <v>49</v>
      </c>
      <c r="H112" s="64">
        <v>24</v>
      </c>
      <c r="I112" s="64" t="s">
        <v>372</v>
      </c>
      <c r="J112" s="111" t="s">
        <v>51</v>
      </c>
      <c r="K112" s="65">
        <v>46144</v>
      </c>
      <c r="L112" s="64"/>
      <c r="M112" s="64" t="s">
        <v>60</v>
      </c>
      <c r="N112" s="63"/>
      <c r="O112" s="64">
        <v>10</v>
      </c>
      <c r="P112" s="64" t="s">
        <v>323</v>
      </c>
      <c r="Q112" s="21" t="str">
        <f ca="1">IFERROR(__xludf.DUMMYFUNCTION("IF(P112="""","""",IF(REGEXMATCH(UPPER(P112),""CITRATE""),""Citrate"",IF(REGEXMATCH(UPPER(P112),""ACETATE""),""Sodium Acetate"",IF(REGEXMATCH(UPPER(P112),""PBS""),""PBS"",IF(REGEXMATCH(UPPER(P112),""TRIS""),""Tris"",IF(REGEXMATCH(UPPER(P112),""HEPES""),""H"&amp;"EPES"",IF(REGEXMATCH(UPPER(P112),""HISTIDINE""),""Histidine"",IF(REGEXMATCH(UPPER(P112),""SUCCINATE""),""Succinate"",IF(REGEXMATCH(UPPER(P112),""GLYCINE""),""Glycine"",P112)))))))))"),"Citrate")</f>
        <v>Citrate</v>
      </c>
      <c r="R112" s="25"/>
      <c r="S112" s="26">
        <v>10</v>
      </c>
      <c r="T112" s="101"/>
      <c r="U112" s="114"/>
      <c r="V112" s="23" t="s">
        <v>56</v>
      </c>
      <c r="W112" s="75">
        <v>122</v>
      </c>
      <c r="X112" s="75" t="s">
        <v>415</v>
      </c>
      <c r="Y112" s="75"/>
      <c r="Z112" s="75" t="s">
        <v>416</v>
      </c>
      <c r="AA112" s="109">
        <v>5.76</v>
      </c>
      <c r="AB112" s="90"/>
    </row>
    <row r="113" spans="1:28" ht="15.75" customHeight="1">
      <c r="A113" s="85">
        <v>110</v>
      </c>
      <c r="B113" s="80" t="s">
        <v>401</v>
      </c>
      <c r="C113" s="18" t="s">
        <v>402</v>
      </c>
      <c r="D113" s="81">
        <v>2025</v>
      </c>
      <c r="E113" s="117" t="s">
        <v>417</v>
      </c>
      <c r="F113" s="64">
        <v>35</v>
      </c>
      <c r="G113" s="111" t="s">
        <v>49</v>
      </c>
      <c r="H113" s="64">
        <v>16</v>
      </c>
      <c r="I113" s="64" t="s">
        <v>372</v>
      </c>
      <c r="J113" s="111" t="s">
        <v>51</v>
      </c>
      <c r="K113" s="65">
        <v>46144</v>
      </c>
      <c r="L113" s="64"/>
      <c r="M113" s="64" t="s">
        <v>404</v>
      </c>
      <c r="N113" s="63"/>
      <c r="O113" s="64">
        <v>10</v>
      </c>
      <c r="P113" s="64" t="s">
        <v>323</v>
      </c>
      <c r="Q113" s="21" t="str">
        <f ca="1">IFERROR(__xludf.DUMMYFUNCTION("IF(P113="""","""",IF(REGEXMATCH(UPPER(P113),""CITRATE""),""Citrate"",IF(REGEXMATCH(UPPER(P113),""ACETATE""),""Sodium Acetate"",IF(REGEXMATCH(UPPER(P113),""PBS""),""PBS"",IF(REGEXMATCH(UPPER(P113),""TRIS""),""Tris"",IF(REGEXMATCH(UPPER(P113),""HEPES""),""H"&amp;"EPES"",IF(REGEXMATCH(UPPER(P113),""HISTIDINE""),""Histidine"",IF(REGEXMATCH(UPPER(P113),""SUCCINATE""),""Succinate"",IF(REGEXMATCH(UPPER(P113),""GLYCINE""),""Glycine"",P113)))))))))"),"Citrate")</f>
        <v>Citrate</v>
      </c>
      <c r="R113" s="25"/>
      <c r="S113" s="26">
        <v>10</v>
      </c>
      <c r="T113" s="101"/>
      <c r="U113" s="114"/>
      <c r="V113" s="23" t="s">
        <v>56</v>
      </c>
      <c r="W113" s="75" t="s">
        <v>418</v>
      </c>
      <c r="X113" s="75" t="s">
        <v>419</v>
      </c>
      <c r="Y113" s="75"/>
      <c r="Z113" s="75" t="s">
        <v>420</v>
      </c>
      <c r="AA113" s="109">
        <v>5.54</v>
      </c>
      <c r="AB113" s="90"/>
    </row>
    <row r="114" spans="1:28" ht="15.75" customHeight="1">
      <c r="A114" s="85">
        <v>111</v>
      </c>
      <c r="B114" s="80" t="s">
        <v>401</v>
      </c>
      <c r="C114" s="18" t="s">
        <v>402</v>
      </c>
      <c r="D114" s="81">
        <v>2025</v>
      </c>
      <c r="E114" s="117" t="s">
        <v>417</v>
      </c>
      <c r="F114" s="64">
        <v>35</v>
      </c>
      <c r="G114" s="111" t="s">
        <v>49</v>
      </c>
      <c r="H114" s="64">
        <v>16</v>
      </c>
      <c r="I114" s="64" t="s">
        <v>372</v>
      </c>
      <c r="J114" s="111" t="s">
        <v>51</v>
      </c>
      <c r="K114" s="65">
        <v>46144</v>
      </c>
      <c r="L114" s="64"/>
      <c r="M114" s="64" t="s">
        <v>60</v>
      </c>
      <c r="N114" s="63"/>
      <c r="O114" s="64">
        <v>10</v>
      </c>
      <c r="P114" s="64" t="s">
        <v>323</v>
      </c>
      <c r="Q114" s="21" t="str">
        <f ca="1">IFERROR(__xludf.DUMMYFUNCTION("IF(P114="""","""",IF(REGEXMATCH(UPPER(P114),""CITRATE""),""Citrate"",IF(REGEXMATCH(UPPER(P114),""ACETATE""),""Sodium Acetate"",IF(REGEXMATCH(UPPER(P114),""PBS""),""PBS"",IF(REGEXMATCH(UPPER(P114),""TRIS""),""Tris"",IF(REGEXMATCH(UPPER(P114),""HEPES""),""H"&amp;"EPES"",IF(REGEXMATCH(UPPER(P114),""HISTIDINE""),""Histidine"",IF(REGEXMATCH(UPPER(P114),""SUCCINATE""),""Succinate"",IF(REGEXMATCH(UPPER(P114),""GLYCINE""),""Glycine"",P114)))))))))"),"Citrate")</f>
        <v>Citrate</v>
      </c>
      <c r="R114" s="25"/>
      <c r="S114" s="26">
        <v>10</v>
      </c>
      <c r="T114" s="101"/>
      <c r="U114" s="114"/>
      <c r="V114" s="23" t="s">
        <v>56</v>
      </c>
      <c r="W114" s="75" t="s">
        <v>421</v>
      </c>
      <c r="X114" s="75" t="s">
        <v>422</v>
      </c>
      <c r="Y114" s="75"/>
      <c r="Z114" s="75" t="s">
        <v>423</v>
      </c>
      <c r="AA114" s="109">
        <v>5.45</v>
      </c>
      <c r="AB114" s="90"/>
    </row>
    <row r="115" spans="1:28" ht="15.75" customHeight="1">
      <c r="A115" s="85">
        <v>112</v>
      </c>
      <c r="B115" s="80" t="s">
        <v>401</v>
      </c>
      <c r="C115" s="18" t="s">
        <v>402</v>
      </c>
      <c r="D115" s="81">
        <v>2025</v>
      </c>
      <c r="E115" s="117" t="s">
        <v>84</v>
      </c>
      <c r="F115" s="64">
        <v>50</v>
      </c>
      <c r="G115" s="111" t="s">
        <v>49</v>
      </c>
      <c r="H115" s="64">
        <v>10</v>
      </c>
      <c r="I115" s="64" t="s">
        <v>86</v>
      </c>
      <c r="J115" s="111" t="s">
        <v>51</v>
      </c>
      <c r="K115" s="65">
        <v>46143</v>
      </c>
      <c r="L115" s="64"/>
      <c r="M115" s="64" t="s">
        <v>404</v>
      </c>
      <c r="N115" s="63"/>
      <c r="O115" s="64">
        <v>10</v>
      </c>
      <c r="P115" s="64" t="s">
        <v>323</v>
      </c>
      <c r="Q115" s="21" t="str">
        <f ca="1">IFERROR(__xludf.DUMMYFUNCTION("IF(P115="""","""",IF(REGEXMATCH(UPPER(P115),""CITRATE""),""Citrate"",IF(REGEXMATCH(UPPER(P115),""ACETATE""),""Sodium Acetate"",IF(REGEXMATCH(UPPER(P115),""PBS""),""PBS"",IF(REGEXMATCH(UPPER(P115),""TRIS""),""Tris"",IF(REGEXMATCH(UPPER(P115),""HEPES""),""H"&amp;"EPES"",IF(REGEXMATCH(UPPER(P115),""HISTIDINE""),""Histidine"",IF(REGEXMATCH(UPPER(P115),""SUCCINATE""),""Succinate"",IF(REGEXMATCH(UPPER(P115),""GLYCINE""),""Glycine"",P115)))))))))"),"Citrate")</f>
        <v>Citrate</v>
      </c>
      <c r="R115" s="25"/>
      <c r="S115" s="26">
        <v>10</v>
      </c>
      <c r="T115" s="101"/>
      <c r="U115" s="114"/>
      <c r="V115" s="23" t="s">
        <v>56</v>
      </c>
      <c r="W115" s="75" t="s">
        <v>424</v>
      </c>
      <c r="X115" s="75" t="s">
        <v>425</v>
      </c>
      <c r="Y115" s="75"/>
      <c r="Z115" s="75" t="s">
        <v>426</v>
      </c>
      <c r="AA115" s="109">
        <v>5.88</v>
      </c>
      <c r="AB115" s="90"/>
    </row>
    <row r="116" spans="1:28" ht="15.75" customHeight="1">
      <c r="A116" s="85">
        <v>113</v>
      </c>
      <c r="B116" s="80" t="s">
        <v>401</v>
      </c>
      <c r="C116" s="18" t="s">
        <v>402</v>
      </c>
      <c r="D116" s="81">
        <v>2025</v>
      </c>
      <c r="E116" s="117" t="s">
        <v>84</v>
      </c>
      <c r="F116" s="64">
        <v>50</v>
      </c>
      <c r="G116" s="111" t="s">
        <v>49</v>
      </c>
      <c r="H116" s="64">
        <v>10</v>
      </c>
      <c r="I116" s="64" t="s">
        <v>86</v>
      </c>
      <c r="J116" s="111" t="s">
        <v>51</v>
      </c>
      <c r="K116" s="65">
        <v>46143</v>
      </c>
      <c r="L116" s="64"/>
      <c r="M116" s="64" t="s">
        <v>60</v>
      </c>
      <c r="N116" s="63"/>
      <c r="O116" s="64">
        <v>10</v>
      </c>
      <c r="P116" s="64" t="s">
        <v>323</v>
      </c>
      <c r="Q116" s="21" t="str">
        <f ca="1">IFERROR(__xludf.DUMMYFUNCTION("IF(P116="""","""",IF(REGEXMATCH(UPPER(P116),""CITRATE""),""Citrate"",IF(REGEXMATCH(UPPER(P116),""ACETATE""),""Sodium Acetate"",IF(REGEXMATCH(UPPER(P116),""PBS""),""PBS"",IF(REGEXMATCH(UPPER(P116),""TRIS""),""Tris"",IF(REGEXMATCH(UPPER(P116),""HEPES""),""H"&amp;"EPES"",IF(REGEXMATCH(UPPER(P116),""HISTIDINE""),""Histidine"",IF(REGEXMATCH(UPPER(P116),""SUCCINATE""),""Succinate"",IF(REGEXMATCH(UPPER(P116),""GLYCINE""),""Glycine"",P116)))))))))"),"Citrate")</f>
        <v>Citrate</v>
      </c>
      <c r="R116" s="25"/>
      <c r="S116" s="26">
        <v>10</v>
      </c>
      <c r="T116" s="101"/>
      <c r="U116" s="114"/>
      <c r="V116" s="23" t="s">
        <v>56</v>
      </c>
      <c r="W116" s="75" t="s">
        <v>427</v>
      </c>
      <c r="X116" s="75" t="s">
        <v>428</v>
      </c>
      <c r="Y116" s="75"/>
      <c r="Z116" s="75" t="s">
        <v>429</v>
      </c>
      <c r="AA116" s="109">
        <v>5.81</v>
      </c>
      <c r="AB116" s="90"/>
    </row>
    <row r="117" spans="1:28" ht="15.75" customHeight="1">
      <c r="A117" s="85">
        <v>114</v>
      </c>
      <c r="B117" s="80" t="s">
        <v>430</v>
      </c>
      <c r="C117" s="41" t="s">
        <v>431</v>
      </c>
      <c r="D117" s="81">
        <v>2024</v>
      </c>
      <c r="E117" s="117" t="s">
        <v>84</v>
      </c>
      <c r="F117" s="64">
        <v>50</v>
      </c>
      <c r="G117" s="111" t="s">
        <v>85</v>
      </c>
      <c r="H117" s="64">
        <v>10</v>
      </c>
      <c r="I117" s="64" t="s">
        <v>86</v>
      </c>
      <c r="J117" s="111" t="s">
        <v>51</v>
      </c>
      <c r="K117" s="65">
        <v>46143</v>
      </c>
      <c r="L117" s="64"/>
      <c r="M117" s="64" t="s">
        <v>60</v>
      </c>
      <c r="N117" s="63"/>
      <c r="O117" s="64">
        <v>10</v>
      </c>
      <c r="P117" s="64" t="s">
        <v>432</v>
      </c>
      <c r="Q117" s="21" t="str">
        <f ca="1">IFERROR(__xludf.DUMMYFUNCTION("IF(P117="""","""",IF(REGEXMATCH(UPPER(P117),""CITRATE""),""Citrate"",IF(REGEXMATCH(UPPER(P117),""ACETATE""),""Sodium Acetate"",IF(REGEXMATCH(UPPER(P117),""PBS""),""PBS"",IF(REGEXMATCH(UPPER(P117),""TRIS""),""Tris"",IF(REGEXMATCH(UPPER(P117),""HEPES""),""H"&amp;"EPES"",IF(REGEXMATCH(UPPER(P117),""HISTIDINE""),""Histidine"",IF(REGEXMATCH(UPPER(P117),""SUCCINATE""),""Succinate"",IF(REGEXMATCH(UPPER(P117),""GLYCINE""),""Glycine"",P117)))))))))"),"Citrate")</f>
        <v>Citrate</v>
      </c>
      <c r="R117" s="108">
        <v>4</v>
      </c>
      <c r="S117" s="26">
        <v>10</v>
      </c>
      <c r="T117" s="101">
        <v>3</v>
      </c>
      <c r="U117" s="114"/>
      <c r="V117" s="23" t="s">
        <v>56</v>
      </c>
      <c r="W117" s="75">
        <v>92</v>
      </c>
      <c r="X117" s="75" t="s">
        <v>245</v>
      </c>
      <c r="Y117" s="75">
        <v>-7</v>
      </c>
      <c r="Z117" s="75"/>
      <c r="AA117" s="109"/>
      <c r="AB117" s="90"/>
    </row>
    <row r="118" spans="1:28" ht="15.75" customHeight="1">
      <c r="A118" s="85">
        <v>115</v>
      </c>
      <c r="B118" s="80" t="s">
        <v>433</v>
      </c>
      <c r="C118" s="41" t="s">
        <v>434</v>
      </c>
      <c r="D118" s="81">
        <v>2024</v>
      </c>
      <c r="E118" s="117" t="s">
        <v>64</v>
      </c>
      <c r="F118" s="64">
        <v>50</v>
      </c>
      <c r="G118" s="111" t="s">
        <v>85</v>
      </c>
      <c r="H118" s="64">
        <v>10</v>
      </c>
      <c r="I118" s="64" t="s">
        <v>86</v>
      </c>
      <c r="J118" s="111" t="s">
        <v>51</v>
      </c>
      <c r="K118" s="65">
        <v>46143</v>
      </c>
      <c r="L118" s="64"/>
      <c r="M118" s="64" t="s">
        <v>60</v>
      </c>
      <c r="N118" s="63"/>
      <c r="O118" s="64"/>
      <c r="P118" s="64" t="s">
        <v>323</v>
      </c>
      <c r="Q118" s="21" t="str">
        <f ca="1">IFERROR(__xludf.DUMMYFUNCTION("IF(P118="""","""",IF(REGEXMATCH(UPPER(P118),""CITRATE""),""Citrate"",IF(REGEXMATCH(UPPER(P118),""ACETATE""),""Sodium Acetate"",IF(REGEXMATCH(UPPER(P118),""PBS""),""PBS"",IF(REGEXMATCH(UPPER(P118),""TRIS""),""Tris"",IF(REGEXMATCH(UPPER(P118),""HEPES""),""H"&amp;"EPES"",IF(REGEXMATCH(UPPER(P118),""HISTIDINE""),""Histidine"",IF(REGEXMATCH(UPPER(P118),""SUCCINATE""),""Succinate"",IF(REGEXMATCH(UPPER(P118),""GLYCINE""),""Glycine"",P118)))))))))"),"Citrate")</f>
        <v>Citrate</v>
      </c>
      <c r="R118" s="25"/>
      <c r="S118" s="26">
        <v>10</v>
      </c>
      <c r="T118" s="101">
        <v>3</v>
      </c>
      <c r="U118" s="114">
        <v>12</v>
      </c>
      <c r="V118" s="23" t="s">
        <v>56</v>
      </c>
      <c r="W118" s="75" t="s">
        <v>435</v>
      </c>
      <c r="X118" s="75" t="s">
        <v>436</v>
      </c>
      <c r="Y118" s="75"/>
      <c r="Z118" s="75" t="s">
        <v>437</v>
      </c>
      <c r="AA118" s="109"/>
      <c r="AB118" s="90"/>
    </row>
    <row r="119" spans="1:28" ht="15.75" customHeight="1">
      <c r="A119" s="85">
        <v>116</v>
      </c>
      <c r="B119" s="80" t="s">
        <v>430</v>
      </c>
      <c r="C119" s="41" t="s">
        <v>438</v>
      </c>
      <c r="D119" s="81">
        <v>2024</v>
      </c>
      <c r="E119" s="117" t="s">
        <v>64</v>
      </c>
      <c r="F119" s="64">
        <v>60</v>
      </c>
      <c r="G119" s="111" t="s">
        <v>101</v>
      </c>
      <c r="H119" s="64">
        <v>60</v>
      </c>
      <c r="I119" s="64">
        <v>0</v>
      </c>
      <c r="J119" s="111" t="s">
        <v>51</v>
      </c>
      <c r="K119" s="65">
        <v>46054</v>
      </c>
      <c r="L119" s="64"/>
      <c r="M119" s="64" t="s">
        <v>60</v>
      </c>
      <c r="N119" s="63"/>
      <c r="O119" s="64"/>
      <c r="P119" s="64" t="s">
        <v>439</v>
      </c>
      <c r="Q119" s="21" t="str">
        <f ca="1">IFERROR(__xludf.DUMMYFUNCTION("IF(P119="""","""",IF(REGEXMATCH(UPPER(P119),""CITRATE""),""Citrate"",IF(REGEXMATCH(UPPER(P119),""ACETATE""),""Sodium Acetate"",IF(REGEXMATCH(UPPER(P119),""PBS""),""PBS"",IF(REGEXMATCH(UPPER(P119),""TRIS""),""Tris"",IF(REGEXMATCH(UPPER(P119),""HEPES""),""H"&amp;"EPES"",IF(REGEXMATCH(UPPER(P119),""HISTIDINE""),""Histidine"",IF(REGEXMATCH(UPPER(P119),""SUCCINATE""),""Succinate"",IF(REGEXMATCH(UPPER(P119),""GLYCINE""),""Glycine"",P119)))))))))"),"Citrate")</f>
        <v>Citrate</v>
      </c>
      <c r="R119" s="108">
        <v>4</v>
      </c>
      <c r="S119" s="26">
        <v>10</v>
      </c>
      <c r="T119" s="101">
        <v>3</v>
      </c>
      <c r="U119" s="114"/>
      <c r="V119" s="23" t="s">
        <v>56</v>
      </c>
      <c r="W119" s="75">
        <v>110</v>
      </c>
      <c r="X119" s="75" t="s">
        <v>152</v>
      </c>
      <c r="Y119" s="75"/>
      <c r="Z119" s="75">
        <v>90</v>
      </c>
      <c r="AA119" s="109"/>
      <c r="AB119" s="90"/>
    </row>
    <row r="120" spans="1:28" ht="15.75" customHeight="1">
      <c r="A120" s="85">
        <v>117</v>
      </c>
      <c r="B120" s="106" t="s">
        <v>440</v>
      </c>
      <c r="C120" s="41" t="s">
        <v>441</v>
      </c>
      <c r="D120" s="81">
        <v>2018</v>
      </c>
      <c r="E120" s="117" t="s">
        <v>64</v>
      </c>
      <c r="F120" s="64">
        <v>50</v>
      </c>
      <c r="G120" s="111" t="s">
        <v>85</v>
      </c>
      <c r="H120" s="64">
        <v>10</v>
      </c>
      <c r="I120" s="64" t="s">
        <v>86</v>
      </c>
      <c r="J120" s="111" t="s">
        <v>51</v>
      </c>
      <c r="K120" s="65">
        <v>46143</v>
      </c>
      <c r="L120" s="64"/>
      <c r="M120" s="64" t="s">
        <v>60</v>
      </c>
      <c r="N120" s="63"/>
      <c r="O120" s="64"/>
      <c r="P120" s="64" t="s">
        <v>442</v>
      </c>
      <c r="Q120" s="21" t="str">
        <f ca="1">IFERROR(__xludf.DUMMYFUNCTION("IF(P120="""","""",IF(REGEXMATCH(UPPER(P120),""CITRATE""),""Citrate"",IF(REGEXMATCH(UPPER(P120),""ACETATE""),""Sodium Acetate"",IF(REGEXMATCH(UPPER(P120),""PBS""),""PBS"",IF(REGEXMATCH(UPPER(P120),""TRIS""),""Tris"",IF(REGEXMATCH(UPPER(P120),""HEPES""),""H"&amp;"EPES"",IF(REGEXMATCH(UPPER(P120),""HISTIDINE""),""Histidine"",IF(REGEXMATCH(UPPER(P120),""SUCCINATE""),""Succinate"",IF(REGEXMATCH(UPPER(P120),""GLYCINE""),""Glycine"",P120)))))))))"),"Sodium Acetate")</f>
        <v>Sodium Acetate</v>
      </c>
      <c r="R120" s="25">
        <v>5</v>
      </c>
      <c r="S120" s="26">
        <v>6.25</v>
      </c>
      <c r="T120" s="101">
        <v>3</v>
      </c>
      <c r="U120" s="114"/>
      <c r="V120" s="23" t="s">
        <v>56</v>
      </c>
      <c r="W120" s="75" t="s">
        <v>443</v>
      </c>
      <c r="X120" s="75" t="s">
        <v>155</v>
      </c>
      <c r="Y120" s="75"/>
      <c r="Z120" s="75" t="s">
        <v>201</v>
      </c>
      <c r="AA120" s="109"/>
      <c r="AB120" s="90"/>
    </row>
    <row r="121" spans="1:28" ht="15.75" customHeight="1">
      <c r="A121" s="85">
        <v>118</v>
      </c>
      <c r="B121" s="19" t="s">
        <v>444</v>
      </c>
      <c r="C121" s="120" t="s">
        <v>445</v>
      </c>
      <c r="D121" s="81">
        <v>2012</v>
      </c>
      <c r="E121" s="117" t="s">
        <v>84</v>
      </c>
      <c r="F121" s="64">
        <v>40</v>
      </c>
      <c r="G121" s="111" t="s">
        <v>85</v>
      </c>
      <c r="H121" s="64">
        <v>10</v>
      </c>
      <c r="I121" s="64">
        <v>48</v>
      </c>
      <c r="J121" s="111" t="s">
        <v>51</v>
      </c>
      <c r="K121" s="64">
        <v>2</v>
      </c>
      <c r="L121" s="64"/>
      <c r="M121" s="63" t="s">
        <v>60</v>
      </c>
      <c r="N121" s="64"/>
      <c r="O121" s="64">
        <v>8</v>
      </c>
      <c r="P121" s="101" t="s">
        <v>256</v>
      </c>
      <c r="Q121" s="21" t="str">
        <f ca="1">IFERROR(__xludf.DUMMYFUNCTION("IF(P121="""","""",IF(REGEXMATCH(UPPER(P121),""CITRATE""),""Citrate"",IF(REGEXMATCH(UPPER(P121),""ACETATE""),""Sodium Acetate"",IF(REGEXMATCH(UPPER(P121),""PBS""),""PBS"",IF(REGEXMATCH(UPPER(P121),""TRIS""),""Tris"",IF(REGEXMATCH(UPPER(P121),""HEPES""),""H"&amp;"EPES"",IF(REGEXMATCH(UPPER(P121),""HISTIDINE""),""Histidine"",IF(REGEXMATCH(UPPER(P121),""SUCCINATE""),""Succinate"",IF(REGEXMATCH(UPPER(P121),""GLYCINE""),""Glycine"",P121)))))))))"),"Citrate")</f>
        <v>Citrate</v>
      </c>
      <c r="R121" s="108">
        <v>6</v>
      </c>
      <c r="S121" s="26">
        <v>100</v>
      </c>
      <c r="T121" s="114">
        <v>1</v>
      </c>
      <c r="U121" s="114"/>
      <c r="V121" s="23" t="s">
        <v>56</v>
      </c>
      <c r="W121" s="75">
        <v>162</v>
      </c>
      <c r="X121" s="75" t="s">
        <v>112</v>
      </c>
      <c r="Y121" s="75"/>
      <c r="Z121" s="75" t="s">
        <v>446</v>
      </c>
      <c r="AA121" s="109"/>
      <c r="AB121" s="90"/>
    </row>
    <row r="122" spans="1:28" ht="15.75" customHeight="1">
      <c r="A122" s="85">
        <v>119</v>
      </c>
      <c r="B122" s="80" t="s">
        <v>447</v>
      </c>
      <c r="C122" s="120" t="s">
        <v>448</v>
      </c>
      <c r="D122" s="81">
        <v>2025</v>
      </c>
      <c r="E122" s="117" t="s">
        <v>84</v>
      </c>
      <c r="F122" s="64">
        <v>50</v>
      </c>
      <c r="G122" s="117" t="s">
        <v>85</v>
      </c>
      <c r="H122" s="64">
        <v>10</v>
      </c>
      <c r="I122" s="64" t="s">
        <v>86</v>
      </c>
      <c r="J122" s="111" t="s">
        <v>51</v>
      </c>
      <c r="K122" s="65">
        <v>46143</v>
      </c>
      <c r="L122" s="64">
        <v>50</v>
      </c>
      <c r="M122" s="64" t="s">
        <v>232</v>
      </c>
      <c r="N122" s="64"/>
      <c r="O122" s="101"/>
      <c r="P122" s="114" t="s">
        <v>449</v>
      </c>
      <c r="Q122" s="21" t="str">
        <f ca="1">IFERROR(__xludf.DUMMYFUNCTION("IF(P122="""","""",IF(REGEXMATCH(UPPER(P122),""CITRATE""),""Citrate"",IF(REGEXMATCH(UPPER(P122),""ACETATE""),""Sodium Acetate"",IF(REGEXMATCH(UPPER(P122),""PBS""),""PBS"",IF(REGEXMATCH(UPPER(P122),""TRIS""),""Tris"",IF(REGEXMATCH(UPPER(P122),""HEPES""),""H"&amp;"EPES"",IF(REGEXMATCH(UPPER(P122),""HISTIDINE""),""Histidine"",IF(REGEXMATCH(UPPER(P122),""SUCCINATE""),""Succinate"",IF(REGEXMATCH(UPPER(P122),""GLYCINE""),""Glycine"",P122)))))))))"),"Sodium Acetate")</f>
        <v>Sodium Acetate</v>
      </c>
      <c r="R122" s="25"/>
      <c r="S122" s="26">
        <v>33</v>
      </c>
      <c r="T122" s="114">
        <v>3</v>
      </c>
      <c r="U122" s="114">
        <v>0.06</v>
      </c>
      <c r="V122" s="23" t="s">
        <v>56</v>
      </c>
      <c r="W122" s="75" t="s">
        <v>450</v>
      </c>
      <c r="X122" s="75" t="s">
        <v>451</v>
      </c>
      <c r="Y122" s="75">
        <v>22</v>
      </c>
      <c r="Z122" s="66">
        <v>85</v>
      </c>
      <c r="AA122" s="109"/>
      <c r="AB122" s="90"/>
    </row>
    <row r="123" spans="1:28" ht="15.75" customHeight="1">
      <c r="A123" s="85">
        <v>120</v>
      </c>
      <c r="B123" s="80" t="s">
        <v>447</v>
      </c>
      <c r="C123" s="120" t="s">
        <v>448</v>
      </c>
      <c r="D123" s="81">
        <v>2025</v>
      </c>
      <c r="E123" s="117" t="s">
        <v>84</v>
      </c>
      <c r="F123" s="64">
        <v>50</v>
      </c>
      <c r="G123" s="116" t="s">
        <v>85</v>
      </c>
      <c r="H123" s="64">
        <v>10</v>
      </c>
      <c r="I123" s="64" t="s">
        <v>86</v>
      </c>
      <c r="J123" s="111" t="s">
        <v>51</v>
      </c>
      <c r="K123" s="65">
        <v>46143</v>
      </c>
      <c r="L123" s="64">
        <v>50</v>
      </c>
      <c r="M123" s="64" t="s">
        <v>255</v>
      </c>
      <c r="N123" s="64"/>
      <c r="O123" s="101"/>
      <c r="P123" s="114" t="s">
        <v>449</v>
      </c>
      <c r="Q123" s="21" t="str">
        <f ca="1">IFERROR(__xludf.DUMMYFUNCTION("IF(P123="""","""",IF(REGEXMATCH(UPPER(P123),""CITRATE""),""Citrate"",IF(REGEXMATCH(UPPER(P123),""ACETATE""),""Sodium Acetate"",IF(REGEXMATCH(UPPER(P123),""PBS""),""PBS"",IF(REGEXMATCH(UPPER(P123),""TRIS""),""Tris"",IF(REGEXMATCH(UPPER(P123),""HEPES""),""H"&amp;"EPES"",IF(REGEXMATCH(UPPER(P123),""HISTIDINE""),""Histidine"",IF(REGEXMATCH(UPPER(P123),""SUCCINATE""),""Succinate"",IF(REGEXMATCH(UPPER(P123),""GLYCINE""),""Glycine"",P123)))))))))"),"Sodium Acetate")</f>
        <v>Sodium Acetate</v>
      </c>
      <c r="R123" s="25"/>
      <c r="S123" s="26">
        <v>33</v>
      </c>
      <c r="T123" s="114">
        <v>3</v>
      </c>
      <c r="U123" s="114">
        <v>0.06</v>
      </c>
      <c r="V123" s="23" t="s">
        <v>56</v>
      </c>
      <c r="W123" s="75" t="s">
        <v>234</v>
      </c>
      <c r="X123" s="75" t="s">
        <v>130</v>
      </c>
      <c r="Y123" s="75">
        <v>14</v>
      </c>
      <c r="Z123" s="109"/>
      <c r="AA123" s="109"/>
      <c r="AB123" s="90"/>
    </row>
    <row r="124" spans="1:28" ht="15.75" customHeight="1">
      <c r="A124" s="85">
        <v>121</v>
      </c>
      <c r="B124" s="106" t="s">
        <v>452</v>
      </c>
      <c r="C124" s="120" t="s">
        <v>453</v>
      </c>
      <c r="D124" s="81"/>
      <c r="E124" s="117" t="s">
        <v>454</v>
      </c>
      <c r="F124" s="64">
        <v>50</v>
      </c>
      <c r="G124" s="116" t="s">
        <v>85</v>
      </c>
      <c r="H124" s="64">
        <v>10</v>
      </c>
      <c r="I124" s="64" t="s">
        <v>86</v>
      </c>
      <c r="J124" s="111" t="s">
        <v>51</v>
      </c>
      <c r="K124" s="65">
        <v>46143</v>
      </c>
      <c r="L124" s="63"/>
      <c r="M124" s="64" t="s">
        <v>60</v>
      </c>
      <c r="N124" s="64"/>
      <c r="O124" s="101"/>
      <c r="P124" s="114" t="s">
        <v>432</v>
      </c>
      <c r="Q124" s="21" t="str">
        <f ca="1">IFERROR(__xludf.DUMMYFUNCTION("IF(P124="""","""",IF(REGEXMATCH(UPPER(P124),""CITRATE""),""Citrate"",IF(REGEXMATCH(UPPER(P124),""ACETATE""),""Sodium Acetate"",IF(REGEXMATCH(UPPER(P124),""PBS""),""PBS"",IF(REGEXMATCH(UPPER(P124),""TRIS""),""Tris"",IF(REGEXMATCH(UPPER(P124),""HEPES""),""H"&amp;"EPES"",IF(REGEXMATCH(UPPER(P124),""HISTIDINE""),""Histidine"",IF(REGEXMATCH(UPPER(P124),""SUCCINATE""),""Succinate"",IF(REGEXMATCH(UPPER(P124),""GLYCINE""),""Glycine"",P124)))))))))"),"Citrate")</f>
        <v>Citrate</v>
      </c>
      <c r="R124" s="25">
        <v>4</v>
      </c>
      <c r="S124" s="26">
        <v>10</v>
      </c>
      <c r="T124" s="114">
        <v>3</v>
      </c>
      <c r="U124" s="114"/>
      <c r="V124" s="23" t="s">
        <v>56</v>
      </c>
      <c r="W124" s="75">
        <v>107</v>
      </c>
      <c r="X124" s="75" t="s">
        <v>455</v>
      </c>
      <c r="Y124" s="75" t="s">
        <v>456</v>
      </c>
      <c r="Z124" s="109">
        <v>96</v>
      </c>
      <c r="AA124" s="109"/>
      <c r="AB124" s="90"/>
    </row>
    <row r="125" spans="1:28" ht="15.75" customHeight="1">
      <c r="A125" s="85">
        <v>122</v>
      </c>
      <c r="B125" s="106" t="s">
        <v>457</v>
      </c>
      <c r="C125" s="120" t="s">
        <v>458</v>
      </c>
      <c r="D125" s="81">
        <v>2024</v>
      </c>
      <c r="E125" s="117" t="s">
        <v>84</v>
      </c>
      <c r="F125" s="64">
        <v>50</v>
      </c>
      <c r="G125" s="116" t="s">
        <v>85</v>
      </c>
      <c r="H125" s="64">
        <v>10</v>
      </c>
      <c r="I125" s="64" t="s">
        <v>86</v>
      </c>
      <c r="J125" s="111" t="s">
        <v>51</v>
      </c>
      <c r="K125" s="65">
        <v>46143</v>
      </c>
      <c r="L125" s="63"/>
      <c r="M125" s="64" t="s">
        <v>53</v>
      </c>
      <c r="N125" s="64"/>
      <c r="O125" s="101"/>
      <c r="P125" s="114" t="s">
        <v>432</v>
      </c>
      <c r="Q125" s="21" t="str">
        <f ca="1">IFERROR(__xludf.DUMMYFUNCTION("IF(P125="""","""",IF(REGEXMATCH(UPPER(P125),""CITRATE""),""Citrate"",IF(REGEXMATCH(UPPER(P125),""ACETATE""),""Sodium Acetate"",IF(REGEXMATCH(UPPER(P125),""PBS""),""PBS"",IF(REGEXMATCH(UPPER(P125),""TRIS""),""Tris"",IF(REGEXMATCH(UPPER(P125),""HEPES""),""H"&amp;"EPES"",IF(REGEXMATCH(UPPER(P125),""HISTIDINE""),""Histidine"",IF(REGEXMATCH(UPPER(P125),""SUCCINATE""),""Succinate"",IF(REGEXMATCH(UPPER(P125),""GLYCINE""),""Glycine"",P125)))))))))"),"Citrate")</f>
        <v>Citrate</v>
      </c>
      <c r="R125" s="25">
        <v>4</v>
      </c>
      <c r="S125" s="26">
        <v>10</v>
      </c>
      <c r="T125" s="114">
        <v>3</v>
      </c>
      <c r="U125" s="114"/>
      <c r="V125" s="23" t="s">
        <v>56</v>
      </c>
      <c r="W125" s="75" t="s">
        <v>459</v>
      </c>
      <c r="X125" s="75" t="s">
        <v>460</v>
      </c>
      <c r="Y125" s="75" t="s">
        <v>461</v>
      </c>
      <c r="Z125" s="109"/>
      <c r="AA125" s="109"/>
      <c r="AB125" s="90"/>
    </row>
    <row r="126" spans="1:28" ht="15.75" customHeight="1">
      <c r="A126" s="85">
        <v>123</v>
      </c>
      <c r="B126" s="106" t="s">
        <v>462</v>
      </c>
      <c r="C126" s="120" t="s">
        <v>463</v>
      </c>
      <c r="D126" s="81">
        <v>2025</v>
      </c>
      <c r="E126" s="117" t="s">
        <v>64</v>
      </c>
      <c r="F126" s="64">
        <v>50</v>
      </c>
      <c r="G126" s="116" t="s">
        <v>85</v>
      </c>
      <c r="H126" s="64">
        <v>10</v>
      </c>
      <c r="I126" s="64" t="s">
        <v>86</v>
      </c>
      <c r="J126" s="111" t="s">
        <v>51</v>
      </c>
      <c r="K126" s="65">
        <v>46143</v>
      </c>
      <c r="L126" s="63"/>
      <c r="M126" s="64" t="s">
        <v>159</v>
      </c>
      <c r="N126" s="64"/>
      <c r="O126" s="101">
        <v>6</v>
      </c>
      <c r="P126" s="114" t="s">
        <v>464</v>
      </c>
      <c r="Q126" s="21" t="str">
        <f ca="1">IFERROR(__xludf.DUMMYFUNCTION("IF(P126="""","""",IF(REGEXMATCH(UPPER(P126),""CITRATE""),""Citrate"",IF(REGEXMATCH(UPPER(P126),""ACETATE""),""Sodium Acetate"",IF(REGEXMATCH(UPPER(P126),""PBS""),""PBS"",IF(REGEXMATCH(UPPER(P126),""TRIS""),""Tris"",IF(REGEXMATCH(UPPER(P126),""HEPES""),""H"&amp;"EPES"",IF(REGEXMATCH(UPPER(P126),""HISTIDINE""),""Histidine"",IF(REGEXMATCH(UPPER(P126),""SUCCINATE""),""Succinate"",IF(REGEXMATCH(UPPER(P126),""GLYCINE""),""Glycine"",P126)))))))))"),"Citrate")</f>
        <v>Citrate</v>
      </c>
      <c r="R126" s="25">
        <v>5</v>
      </c>
      <c r="S126" s="26">
        <v>50</v>
      </c>
      <c r="T126" s="114">
        <v>3</v>
      </c>
      <c r="U126" s="114">
        <v>15</v>
      </c>
      <c r="V126" s="23" t="s">
        <v>56</v>
      </c>
      <c r="W126" s="75">
        <v>110</v>
      </c>
      <c r="X126" s="75" t="s">
        <v>104</v>
      </c>
      <c r="Y126" s="75"/>
      <c r="Z126" s="109">
        <v>98</v>
      </c>
      <c r="AA126" s="109"/>
      <c r="AB126" s="90" t="s">
        <v>465</v>
      </c>
    </row>
    <row r="127" spans="1:28" ht="15.75" customHeight="1">
      <c r="A127" s="85">
        <v>124</v>
      </c>
      <c r="B127" s="106" t="s">
        <v>462</v>
      </c>
      <c r="C127" s="120" t="s">
        <v>466</v>
      </c>
      <c r="D127" s="81">
        <v>2025</v>
      </c>
      <c r="E127" s="117" t="s">
        <v>64</v>
      </c>
      <c r="F127" s="64">
        <v>50</v>
      </c>
      <c r="G127" s="116" t="s">
        <v>85</v>
      </c>
      <c r="H127" s="64">
        <v>10</v>
      </c>
      <c r="I127" s="64" t="s">
        <v>86</v>
      </c>
      <c r="J127" s="111" t="s">
        <v>51</v>
      </c>
      <c r="K127" s="65">
        <v>46143</v>
      </c>
      <c r="L127" s="63"/>
      <c r="M127" s="64" t="s">
        <v>127</v>
      </c>
      <c r="N127" s="64"/>
      <c r="O127" s="101">
        <v>6</v>
      </c>
      <c r="P127" s="114" t="s">
        <v>464</v>
      </c>
      <c r="Q127" s="21" t="str">
        <f ca="1">IFERROR(__xludf.DUMMYFUNCTION("IF(P127="""","""",IF(REGEXMATCH(UPPER(P127),""CITRATE""),""Citrate"",IF(REGEXMATCH(UPPER(P127),""ACETATE""),""Sodium Acetate"",IF(REGEXMATCH(UPPER(P127),""PBS""),""PBS"",IF(REGEXMATCH(UPPER(P127),""TRIS""),""Tris"",IF(REGEXMATCH(UPPER(P127),""HEPES""),""H"&amp;"EPES"",IF(REGEXMATCH(UPPER(P127),""HISTIDINE""),""Histidine"",IF(REGEXMATCH(UPPER(P127),""SUCCINATE""),""Succinate"",IF(REGEXMATCH(UPPER(P127),""GLYCINE""),""Glycine"",P127)))))))))"),"Citrate")</f>
        <v>Citrate</v>
      </c>
      <c r="R127" s="25">
        <v>5</v>
      </c>
      <c r="S127" s="26">
        <v>50</v>
      </c>
      <c r="T127" s="114">
        <v>3</v>
      </c>
      <c r="U127" s="114">
        <v>15</v>
      </c>
      <c r="V127" s="23" t="s">
        <v>56</v>
      </c>
      <c r="W127" s="75">
        <v>150</v>
      </c>
      <c r="X127" s="75" t="s">
        <v>267</v>
      </c>
      <c r="Y127" s="75"/>
      <c r="Z127" s="109">
        <v>82</v>
      </c>
      <c r="AA127" s="109"/>
      <c r="AB127" s="90" t="s">
        <v>465</v>
      </c>
    </row>
    <row r="128" spans="1:28" ht="15.75" customHeight="1">
      <c r="A128" s="85">
        <v>125</v>
      </c>
      <c r="B128" s="106" t="s">
        <v>462</v>
      </c>
      <c r="C128" s="120" t="s">
        <v>467</v>
      </c>
      <c r="D128" s="81">
        <v>2025</v>
      </c>
      <c r="E128" s="117" t="s">
        <v>64</v>
      </c>
      <c r="F128" s="64">
        <v>50</v>
      </c>
      <c r="G128" s="116" t="s">
        <v>85</v>
      </c>
      <c r="H128" s="64">
        <v>10</v>
      </c>
      <c r="I128" s="64" t="s">
        <v>86</v>
      </c>
      <c r="J128" s="111" t="s">
        <v>51</v>
      </c>
      <c r="K128" s="65">
        <v>46143</v>
      </c>
      <c r="L128" s="63"/>
      <c r="M128" s="64" t="s">
        <v>60</v>
      </c>
      <c r="N128" s="64"/>
      <c r="O128" s="101">
        <v>6</v>
      </c>
      <c r="P128" s="114" t="s">
        <v>464</v>
      </c>
      <c r="Q128" s="21" t="str">
        <f ca="1">IFERROR(__xludf.DUMMYFUNCTION("IF(P128="""","""",IF(REGEXMATCH(UPPER(P128),""CITRATE""),""Citrate"",IF(REGEXMATCH(UPPER(P128),""ACETATE""),""Sodium Acetate"",IF(REGEXMATCH(UPPER(P128),""PBS""),""PBS"",IF(REGEXMATCH(UPPER(P128),""TRIS""),""Tris"",IF(REGEXMATCH(UPPER(P128),""HEPES""),""H"&amp;"EPES"",IF(REGEXMATCH(UPPER(P128),""HISTIDINE""),""Histidine"",IF(REGEXMATCH(UPPER(P128),""SUCCINATE""),""Succinate"",IF(REGEXMATCH(UPPER(P128),""GLYCINE""),""Glycine"",P128)))))))))"),"Citrate")</f>
        <v>Citrate</v>
      </c>
      <c r="R128" s="25">
        <v>5</v>
      </c>
      <c r="S128" s="26">
        <v>50</v>
      </c>
      <c r="T128" s="114">
        <v>3</v>
      </c>
      <c r="U128" s="114">
        <v>15</v>
      </c>
      <c r="V128" s="23" t="s">
        <v>56</v>
      </c>
      <c r="W128" s="75">
        <v>150</v>
      </c>
      <c r="X128" s="75" t="s">
        <v>121</v>
      </c>
      <c r="Y128" s="75"/>
      <c r="Z128" s="109">
        <v>84</v>
      </c>
      <c r="AA128" s="109"/>
      <c r="AB128" s="90" t="s">
        <v>465</v>
      </c>
    </row>
    <row r="129" spans="1:28" ht="15.75" customHeight="1">
      <c r="A129" s="85">
        <v>126</v>
      </c>
      <c r="B129" s="106" t="s">
        <v>462</v>
      </c>
      <c r="C129" s="120" t="s">
        <v>468</v>
      </c>
      <c r="D129" s="81">
        <v>2025</v>
      </c>
      <c r="E129" s="117" t="s">
        <v>64</v>
      </c>
      <c r="F129" s="64">
        <v>50</v>
      </c>
      <c r="G129" s="116" t="s">
        <v>85</v>
      </c>
      <c r="H129" s="64">
        <v>10</v>
      </c>
      <c r="I129" s="64" t="s">
        <v>86</v>
      </c>
      <c r="J129" s="111" t="s">
        <v>51</v>
      </c>
      <c r="K129" s="65">
        <v>46143</v>
      </c>
      <c r="L129" s="63"/>
      <c r="M129" s="64" t="s">
        <v>60</v>
      </c>
      <c r="N129" s="64"/>
      <c r="O129" s="101">
        <v>6</v>
      </c>
      <c r="P129" s="114" t="s">
        <v>464</v>
      </c>
      <c r="Q129" s="21" t="str">
        <f ca="1">IFERROR(__xludf.DUMMYFUNCTION("IF(P129="""","""",IF(REGEXMATCH(UPPER(P129),""CITRATE""),""Citrate"",IF(REGEXMATCH(UPPER(P129),""ACETATE""),""Sodium Acetate"",IF(REGEXMATCH(UPPER(P129),""PBS""),""PBS"",IF(REGEXMATCH(UPPER(P129),""TRIS""),""Tris"",IF(REGEXMATCH(UPPER(P129),""HEPES""),""H"&amp;"EPES"",IF(REGEXMATCH(UPPER(P129),""HISTIDINE""),""Histidine"",IF(REGEXMATCH(UPPER(P129),""SUCCINATE""),""Succinate"",IF(REGEXMATCH(UPPER(P129),""GLYCINE""),""Glycine"",P129)))))))))"),"Citrate")</f>
        <v>Citrate</v>
      </c>
      <c r="R129" s="25">
        <v>5</v>
      </c>
      <c r="S129" s="26">
        <v>50</v>
      </c>
      <c r="T129" s="114">
        <v>3</v>
      </c>
      <c r="U129" s="114">
        <v>15</v>
      </c>
      <c r="V129" s="23" t="s">
        <v>56</v>
      </c>
      <c r="W129" s="75">
        <v>175</v>
      </c>
      <c r="X129" s="75" t="s">
        <v>89</v>
      </c>
      <c r="Y129" s="75"/>
      <c r="Z129" s="109">
        <v>78</v>
      </c>
      <c r="AA129" s="109"/>
      <c r="AB129" s="90" t="s">
        <v>465</v>
      </c>
    </row>
    <row r="130" spans="1:28" ht="15.75" customHeight="1">
      <c r="A130" s="85">
        <v>127</v>
      </c>
      <c r="B130" s="85" t="s">
        <v>401</v>
      </c>
      <c r="C130" s="106" t="s">
        <v>402</v>
      </c>
      <c r="D130" s="81"/>
      <c r="E130" s="117" t="s">
        <v>469</v>
      </c>
      <c r="F130" s="64">
        <v>35</v>
      </c>
      <c r="G130" s="116" t="s">
        <v>49</v>
      </c>
      <c r="H130" s="64">
        <v>16</v>
      </c>
      <c r="I130" s="64" t="s">
        <v>372</v>
      </c>
      <c r="J130" s="111" t="s">
        <v>51</v>
      </c>
      <c r="K130" s="65">
        <v>46144</v>
      </c>
      <c r="L130" s="64">
        <v>10</v>
      </c>
      <c r="M130" s="64" t="s">
        <v>60</v>
      </c>
      <c r="N130" s="64"/>
      <c r="O130" s="101">
        <v>10</v>
      </c>
      <c r="P130" s="114" t="s">
        <v>323</v>
      </c>
      <c r="Q130" s="21" t="str">
        <f ca="1">IFERROR(__xludf.DUMMYFUNCTION("IF(P130="""","""",IF(REGEXMATCH(UPPER(P130),""CITRATE""),""Citrate"",IF(REGEXMATCH(UPPER(P130),""ACETATE""),""Sodium Acetate"",IF(REGEXMATCH(UPPER(P130),""PBS""),""PBS"",IF(REGEXMATCH(UPPER(P130),""TRIS""),""Tris"",IF(REGEXMATCH(UPPER(P130),""HEPES""),""H"&amp;"EPES"",IF(REGEXMATCH(UPPER(P130),""HISTIDINE""),""Histidine"",IF(REGEXMATCH(UPPER(P130),""SUCCINATE""),""Succinate"",IF(REGEXMATCH(UPPER(P130),""GLYCINE""),""Glycine"",P130)))))))))"),"Citrate")</f>
        <v>Citrate</v>
      </c>
      <c r="R130" s="25"/>
      <c r="S130" s="26">
        <v>10</v>
      </c>
      <c r="T130" s="114"/>
      <c r="U130" s="114"/>
      <c r="V130" s="23" t="s">
        <v>470</v>
      </c>
      <c r="W130" s="75" t="s">
        <v>471</v>
      </c>
      <c r="X130" s="75" t="s">
        <v>472</v>
      </c>
      <c r="Y130" s="75" t="s">
        <v>473</v>
      </c>
      <c r="Z130" s="109" t="s">
        <v>474</v>
      </c>
      <c r="AA130" s="109"/>
      <c r="AB130" s="90" t="s">
        <v>475</v>
      </c>
    </row>
    <row r="131" spans="1:28" ht="15.75" customHeight="1">
      <c r="A131" s="85">
        <v>128</v>
      </c>
      <c r="B131" s="85" t="s">
        <v>401</v>
      </c>
      <c r="C131" s="106" t="s">
        <v>402</v>
      </c>
      <c r="D131" s="81"/>
      <c r="E131" s="117" t="s">
        <v>476</v>
      </c>
      <c r="F131" s="64">
        <v>35</v>
      </c>
      <c r="G131" s="116" t="s">
        <v>49</v>
      </c>
      <c r="H131" s="64">
        <v>16</v>
      </c>
      <c r="I131" s="64" t="s">
        <v>372</v>
      </c>
      <c r="J131" s="111" t="s">
        <v>51</v>
      </c>
      <c r="K131" s="65">
        <v>46144</v>
      </c>
      <c r="L131" s="64">
        <v>10</v>
      </c>
      <c r="M131" s="64" t="s">
        <v>60</v>
      </c>
      <c r="N131" s="64"/>
      <c r="O131" s="101">
        <v>10</v>
      </c>
      <c r="P131" s="114" t="s">
        <v>323</v>
      </c>
      <c r="Q131" s="21" t="str">
        <f ca="1">IFERROR(__xludf.DUMMYFUNCTION("IF(P131="""","""",IF(REGEXMATCH(UPPER(P131),""CITRATE""),""Citrate"",IF(REGEXMATCH(UPPER(P131),""ACETATE""),""Sodium Acetate"",IF(REGEXMATCH(UPPER(P131),""PBS""),""PBS"",IF(REGEXMATCH(UPPER(P131),""TRIS""),""Tris"",IF(REGEXMATCH(UPPER(P131),""HEPES""),""H"&amp;"EPES"",IF(REGEXMATCH(UPPER(P131),""HISTIDINE""),""Histidine"",IF(REGEXMATCH(UPPER(P131),""SUCCINATE""),""Succinate"",IF(REGEXMATCH(UPPER(P131),""GLYCINE""),""Glycine"",P131)))))))))"),"Citrate")</f>
        <v>Citrate</v>
      </c>
      <c r="R131" s="25"/>
      <c r="S131" s="26">
        <v>10</v>
      </c>
      <c r="T131" s="114"/>
      <c r="U131" s="114"/>
      <c r="V131" s="23" t="s">
        <v>470</v>
      </c>
      <c r="W131" s="75" t="s">
        <v>477</v>
      </c>
      <c r="X131" s="75" t="s">
        <v>478</v>
      </c>
      <c r="Y131" s="75" t="s">
        <v>479</v>
      </c>
      <c r="Z131" s="109" t="s">
        <v>480</v>
      </c>
      <c r="AA131" s="109"/>
      <c r="AB131" s="90" t="s">
        <v>475</v>
      </c>
    </row>
    <row r="132" spans="1:28" ht="15.75" customHeight="1">
      <c r="A132" s="85">
        <v>129</v>
      </c>
      <c r="B132" s="85" t="s">
        <v>401</v>
      </c>
      <c r="C132" s="106" t="s">
        <v>402</v>
      </c>
      <c r="D132" s="81"/>
      <c r="E132" s="117" t="s">
        <v>481</v>
      </c>
      <c r="F132" s="64">
        <v>35</v>
      </c>
      <c r="G132" s="116" t="s">
        <v>49</v>
      </c>
      <c r="H132" s="64">
        <v>16</v>
      </c>
      <c r="I132" s="64" t="s">
        <v>372</v>
      </c>
      <c r="J132" s="111" t="s">
        <v>51</v>
      </c>
      <c r="K132" s="65">
        <v>46144</v>
      </c>
      <c r="L132" s="64">
        <v>10</v>
      </c>
      <c r="M132" s="64" t="s">
        <v>60</v>
      </c>
      <c r="N132" s="64"/>
      <c r="O132" s="101">
        <v>10</v>
      </c>
      <c r="P132" s="114" t="s">
        <v>323</v>
      </c>
      <c r="Q132" s="21" t="str">
        <f ca="1">IFERROR(__xludf.DUMMYFUNCTION("IF(P132="""","""",IF(REGEXMATCH(UPPER(P132),""CITRATE""),""Citrate"",IF(REGEXMATCH(UPPER(P132),""ACETATE""),""Sodium Acetate"",IF(REGEXMATCH(UPPER(P132),""PBS""),""PBS"",IF(REGEXMATCH(UPPER(P132),""TRIS""),""Tris"",IF(REGEXMATCH(UPPER(P132),""HEPES""),""H"&amp;"EPES"",IF(REGEXMATCH(UPPER(P132),""HISTIDINE""),""Histidine"",IF(REGEXMATCH(UPPER(P132),""SUCCINATE""),""Succinate"",IF(REGEXMATCH(UPPER(P132),""GLYCINE""),""Glycine"",P132)))))))))"),"Citrate")</f>
        <v>Citrate</v>
      </c>
      <c r="R132" s="25"/>
      <c r="S132" s="26">
        <v>10</v>
      </c>
      <c r="T132" s="114"/>
      <c r="U132" s="114"/>
      <c r="V132" s="23" t="s">
        <v>470</v>
      </c>
      <c r="W132" s="75" t="s">
        <v>482</v>
      </c>
      <c r="X132" s="75" t="s">
        <v>483</v>
      </c>
      <c r="Y132" s="75" t="s">
        <v>484</v>
      </c>
      <c r="Z132" s="109" t="s">
        <v>485</v>
      </c>
      <c r="AA132" s="109"/>
      <c r="AB132" s="90" t="s">
        <v>475</v>
      </c>
    </row>
    <row r="133" spans="1:28" ht="15.75" customHeight="1">
      <c r="A133" s="85">
        <v>130</v>
      </c>
      <c r="B133" s="85" t="s">
        <v>401</v>
      </c>
      <c r="C133" s="106" t="s">
        <v>402</v>
      </c>
      <c r="D133" s="81"/>
      <c r="E133" s="117" t="s">
        <v>486</v>
      </c>
      <c r="F133" s="64">
        <v>35</v>
      </c>
      <c r="G133" s="116" t="s">
        <v>49</v>
      </c>
      <c r="H133" s="64">
        <v>16</v>
      </c>
      <c r="I133" s="64" t="s">
        <v>372</v>
      </c>
      <c r="J133" s="111" t="s">
        <v>51</v>
      </c>
      <c r="K133" s="65">
        <v>46144</v>
      </c>
      <c r="L133" s="64">
        <v>10</v>
      </c>
      <c r="M133" s="64" t="s">
        <v>60</v>
      </c>
      <c r="N133" s="64"/>
      <c r="O133" s="101">
        <v>10</v>
      </c>
      <c r="P133" s="114" t="s">
        <v>323</v>
      </c>
      <c r="Q133" s="21" t="str">
        <f ca="1">IFERROR(__xludf.DUMMYFUNCTION("IF(P133="""","""",IF(REGEXMATCH(UPPER(P133),""CITRATE""),""Citrate"",IF(REGEXMATCH(UPPER(P133),""ACETATE""),""Sodium Acetate"",IF(REGEXMATCH(UPPER(P133),""PBS""),""PBS"",IF(REGEXMATCH(UPPER(P133),""TRIS""),""Tris"",IF(REGEXMATCH(UPPER(P133),""HEPES""),""H"&amp;"EPES"",IF(REGEXMATCH(UPPER(P133),""HISTIDINE""),""Histidine"",IF(REGEXMATCH(UPPER(P133),""SUCCINATE""),""Succinate"",IF(REGEXMATCH(UPPER(P133),""GLYCINE""),""Glycine"",P133)))))))))"),"Citrate")</f>
        <v>Citrate</v>
      </c>
      <c r="R133" s="25"/>
      <c r="S133" s="26">
        <v>10</v>
      </c>
      <c r="T133" s="114"/>
      <c r="U133" s="114"/>
      <c r="V133" s="23" t="s">
        <v>470</v>
      </c>
      <c r="W133" s="75" t="s">
        <v>487</v>
      </c>
      <c r="X133" s="75" t="s">
        <v>488</v>
      </c>
      <c r="Y133" s="75" t="s">
        <v>489</v>
      </c>
      <c r="Z133" s="109" t="s">
        <v>490</v>
      </c>
      <c r="AA133" s="109"/>
      <c r="AB133" s="90" t="s">
        <v>475</v>
      </c>
    </row>
    <row r="134" spans="1:28" ht="15.75" customHeight="1">
      <c r="A134" s="85">
        <v>131</v>
      </c>
      <c r="B134" s="85" t="s">
        <v>401</v>
      </c>
      <c r="C134" s="106" t="s">
        <v>402</v>
      </c>
      <c r="D134" s="81"/>
      <c r="E134" s="117" t="s">
        <v>491</v>
      </c>
      <c r="F134" s="64">
        <v>35</v>
      </c>
      <c r="G134" s="116" t="s">
        <v>49</v>
      </c>
      <c r="H134" s="64">
        <v>16</v>
      </c>
      <c r="I134" s="64" t="s">
        <v>372</v>
      </c>
      <c r="J134" s="111" t="s">
        <v>51</v>
      </c>
      <c r="K134" s="65">
        <v>46144</v>
      </c>
      <c r="L134" s="64">
        <v>10</v>
      </c>
      <c r="M134" s="64" t="s">
        <v>60</v>
      </c>
      <c r="N134" s="64"/>
      <c r="O134" s="101">
        <v>10</v>
      </c>
      <c r="P134" s="114" t="s">
        <v>323</v>
      </c>
      <c r="Q134" s="21" t="str">
        <f ca="1">IFERROR(__xludf.DUMMYFUNCTION("IF(P134="""","""",IF(REGEXMATCH(UPPER(P134),""CITRATE""),""Citrate"",IF(REGEXMATCH(UPPER(P134),""ACETATE""),""Sodium Acetate"",IF(REGEXMATCH(UPPER(P134),""PBS""),""PBS"",IF(REGEXMATCH(UPPER(P134),""TRIS""),""Tris"",IF(REGEXMATCH(UPPER(P134),""HEPES""),""H"&amp;"EPES"",IF(REGEXMATCH(UPPER(P134),""HISTIDINE""),""Histidine"",IF(REGEXMATCH(UPPER(P134),""SUCCINATE""),""Succinate"",IF(REGEXMATCH(UPPER(P134),""GLYCINE""),""Glycine"",P134)))))))))"),"Citrate")</f>
        <v>Citrate</v>
      </c>
      <c r="R134" s="25"/>
      <c r="S134" s="26">
        <v>10</v>
      </c>
      <c r="T134" s="114"/>
      <c r="U134" s="114"/>
      <c r="V134" s="23" t="s">
        <v>470</v>
      </c>
      <c r="W134" s="75" t="s">
        <v>492</v>
      </c>
      <c r="X134" s="75" t="s">
        <v>493</v>
      </c>
      <c r="Y134" s="75" t="s">
        <v>494</v>
      </c>
      <c r="Z134" s="109" t="s">
        <v>495</v>
      </c>
      <c r="AA134" s="109"/>
      <c r="AB134" s="90" t="s">
        <v>475</v>
      </c>
    </row>
    <row r="135" spans="1:28" ht="15.75" customHeight="1">
      <c r="A135" s="85">
        <v>132</v>
      </c>
      <c r="B135" s="85" t="s">
        <v>401</v>
      </c>
      <c r="C135" s="106" t="s">
        <v>402</v>
      </c>
      <c r="D135" s="81"/>
      <c r="E135" s="117" t="s">
        <v>403</v>
      </c>
      <c r="F135" s="64">
        <v>35</v>
      </c>
      <c r="G135" s="116" t="s">
        <v>49</v>
      </c>
      <c r="H135" s="64">
        <v>16</v>
      </c>
      <c r="I135" s="64" t="s">
        <v>372</v>
      </c>
      <c r="J135" s="111" t="s">
        <v>51</v>
      </c>
      <c r="K135" s="65">
        <v>46144</v>
      </c>
      <c r="L135" s="64">
        <v>10</v>
      </c>
      <c r="M135" s="64" t="s">
        <v>60</v>
      </c>
      <c r="N135" s="64"/>
      <c r="O135" s="101">
        <v>10</v>
      </c>
      <c r="P135" s="114" t="s">
        <v>323</v>
      </c>
      <c r="Q135" s="21" t="str">
        <f ca="1">IFERROR(__xludf.DUMMYFUNCTION("IF(P135="""","""",IF(REGEXMATCH(UPPER(P135),""CITRATE""),""Citrate"",IF(REGEXMATCH(UPPER(P135),""ACETATE""),""Sodium Acetate"",IF(REGEXMATCH(UPPER(P135),""PBS""),""PBS"",IF(REGEXMATCH(UPPER(P135),""TRIS""),""Tris"",IF(REGEXMATCH(UPPER(P135),""HEPES""),""H"&amp;"EPES"",IF(REGEXMATCH(UPPER(P135),""HISTIDINE""),""Histidine"",IF(REGEXMATCH(UPPER(P135),""SUCCINATE""),""Succinate"",IF(REGEXMATCH(UPPER(P135),""GLYCINE""),""Glycine"",P135)))))))))"),"Citrate")</f>
        <v>Citrate</v>
      </c>
      <c r="R135" s="25"/>
      <c r="S135" s="26">
        <v>10</v>
      </c>
      <c r="T135" s="114"/>
      <c r="U135" s="114"/>
      <c r="V135" s="23" t="s">
        <v>470</v>
      </c>
      <c r="W135" s="75" t="s">
        <v>496</v>
      </c>
      <c r="X135" s="75" t="s">
        <v>497</v>
      </c>
      <c r="Y135" s="75">
        <v>9.0399999999999991</v>
      </c>
      <c r="Z135" s="109" t="s">
        <v>498</v>
      </c>
      <c r="AA135" s="109"/>
      <c r="AB135" s="90" t="s">
        <v>475</v>
      </c>
    </row>
    <row r="136" spans="1:28" ht="15.75" customHeight="1">
      <c r="A136" s="85">
        <v>133</v>
      </c>
      <c r="B136" s="85" t="s">
        <v>401</v>
      </c>
      <c r="C136" s="106" t="s">
        <v>402</v>
      </c>
      <c r="D136" s="81"/>
      <c r="E136" s="117" t="s">
        <v>499</v>
      </c>
      <c r="F136" s="64">
        <v>35</v>
      </c>
      <c r="G136" s="116" t="s">
        <v>49</v>
      </c>
      <c r="H136" s="64">
        <v>16</v>
      </c>
      <c r="I136" s="64" t="s">
        <v>372</v>
      </c>
      <c r="J136" s="111" t="s">
        <v>51</v>
      </c>
      <c r="K136" s="65">
        <v>46144</v>
      </c>
      <c r="L136" s="64">
        <v>10</v>
      </c>
      <c r="M136" s="64" t="s">
        <v>60</v>
      </c>
      <c r="N136" s="64"/>
      <c r="O136" s="101">
        <v>10</v>
      </c>
      <c r="P136" s="114" t="s">
        <v>323</v>
      </c>
      <c r="Q136" s="21" t="str">
        <f ca="1">IFERROR(__xludf.DUMMYFUNCTION("IF(P136="""","""",IF(REGEXMATCH(UPPER(P136),""CITRATE""),""Citrate"",IF(REGEXMATCH(UPPER(P136),""ACETATE""),""Sodium Acetate"",IF(REGEXMATCH(UPPER(P136),""PBS""),""PBS"",IF(REGEXMATCH(UPPER(P136),""TRIS""),""Tris"",IF(REGEXMATCH(UPPER(P136),""HEPES""),""H"&amp;"EPES"",IF(REGEXMATCH(UPPER(P136),""HISTIDINE""),""Histidine"",IF(REGEXMATCH(UPPER(P136),""SUCCINATE""),""Succinate"",IF(REGEXMATCH(UPPER(P136),""GLYCINE""),""Glycine"",P136)))))))))"),"Citrate")</f>
        <v>Citrate</v>
      </c>
      <c r="R136" s="25"/>
      <c r="S136" s="26">
        <v>10</v>
      </c>
      <c r="T136" s="114"/>
      <c r="U136" s="114"/>
      <c r="V136" s="23" t="s">
        <v>470</v>
      </c>
      <c r="W136" s="75" t="s">
        <v>500</v>
      </c>
      <c r="X136" s="75" t="s">
        <v>478</v>
      </c>
      <c r="Y136" s="75">
        <v>9.02</v>
      </c>
      <c r="Z136" s="109" t="s">
        <v>501</v>
      </c>
      <c r="AA136" s="109"/>
      <c r="AB136" s="90" t="s">
        <v>475</v>
      </c>
    </row>
    <row r="137" spans="1:28" ht="15.75" customHeight="1">
      <c r="A137" s="85">
        <v>134</v>
      </c>
      <c r="B137" s="85" t="s">
        <v>401</v>
      </c>
      <c r="C137" s="106" t="s">
        <v>402</v>
      </c>
      <c r="D137" s="81"/>
      <c r="E137" s="117" t="s">
        <v>502</v>
      </c>
      <c r="F137" s="64">
        <v>35</v>
      </c>
      <c r="G137" s="116" t="s">
        <v>49</v>
      </c>
      <c r="H137" s="64">
        <v>16</v>
      </c>
      <c r="I137" s="64" t="s">
        <v>372</v>
      </c>
      <c r="J137" s="111" t="s">
        <v>51</v>
      </c>
      <c r="K137" s="65">
        <v>46144</v>
      </c>
      <c r="L137" s="64">
        <v>10</v>
      </c>
      <c r="M137" s="64" t="s">
        <v>60</v>
      </c>
      <c r="N137" s="64"/>
      <c r="O137" s="101">
        <v>10</v>
      </c>
      <c r="P137" s="114" t="s">
        <v>323</v>
      </c>
      <c r="Q137" s="21" t="str">
        <f ca="1">IFERROR(__xludf.DUMMYFUNCTION("IF(P137="""","""",IF(REGEXMATCH(UPPER(P137),""CITRATE""),""Citrate"",IF(REGEXMATCH(UPPER(P137),""ACETATE""),""Sodium Acetate"",IF(REGEXMATCH(UPPER(P137),""PBS""),""PBS"",IF(REGEXMATCH(UPPER(P137),""TRIS""),""Tris"",IF(REGEXMATCH(UPPER(P137),""HEPES""),""H"&amp;"EPES"",IF(REGEXMATCH(UPPER(P137),""HISTIDINE""),""Histidine"",IF(REGEXMATCH(UPPER(P137),""SUCCINATE""),""Succinate"",IF(REGEXMATCH(UPPER(P137),""GLYCINE""),""Glycine"",P137)))))))))"),"Citrate")</f>
        <v>Citrate</v>
      </c>
      <c r="R137" s="25"/>
      <c r="S137" s="26">
        <v>10</v>
      </c>
      <c r="T137" s="114"/>
      <c r="U137" s="114"/>
      <c r="V137" s="23" t="s">
        <v>470</v>
      </c>
      <c r="W137" s="75" t="s">
        <v>503</v>
      </c>
      <c r="X137" s="75" t="s">
        <v>504</v>
      </c>
      <c r="Y137" s="75" t="s">
        <v>505</v>
      </c>
      <c r="Z137" s="109" t="s">
        <v>506</v>
      </c>
      <c r="AA137" s="109"/>
      <c r="AB137" s="90" t="s">
        <v>475</v>
      </c>
    </row>
    <row r="138" spans="1:28" ht="15.75" customHeight="1">
      <c r="A138" s="85">
        <v>135</v>
      </c>
      <c r="B138" s="85" t="s">
        <v>401</v>
      </c>
      <c r="C138" s="106" t="s">
        <v>402</v>
      </c>
      <c r="D138" s="81"/>
      <c r="E138" s="117" t="s">
        <v>507</v>
      </c>
      <c r="F138" s="64">
        <v>35</v>
      </c>
      <c r="G138" s="116" t="s">
        <v>49</v>
      </c>
      <c r="H138" s="64">
        <v>16</v>
      </c>
      <c r="I138" s="64" t="s">
        <v>372</v>
      </c>
      <c r="J138" s="111" t="s">
        <v>51</v>
      </c>
      <c r="K138" s="65">
        <v>46144</v>
      </c>
      <c r="L138" s="64">
        <v>10</v>
      </c>
      <c r="M138" s="64" t="s">
        <v>60</v>
      </c>
      <c r="N138" s="64"/>
      <c r="O138" s="101">
        <v>10</v>
      </c>
      <c r="P138" s="114" t="s">
        <v>323</v>
      </c>
      <c r="Q138" s="21" t="str">
        <f ca="1">IFERROR(__xludf.DUMMYFUNCTION("IF(P138="""","""",IF(REGEXMATCH(UPPER(P138),""CITRATE""),""Citrate"",IF(REGEXMATCH(UPPER(P138),""ACETATE""),""Sodium Acetate"",IF(REGEXMATCH(UPPER(P138),""PBS""),""PBS"",IF(REGEXMATCH(UPPER(P138),""TRIS""),""Tris"",IF(REGEXMATCH(UPPER(P138),""HEPES""),""H"&amp;"EPES"",IF(REGEXMATCH(UPPER(P138),""HISTIDINE""),""Histidine"",IF(REGEXMATCH(UPPER(P138),""SUCCINATE""),""Succinate"",IF(REGEXMATCH(UPPER(P138),""GLYCINE""),""Glycine"",P138)))))))))"),"Citrate")</f>
        <v>Citrate</v>
      </c>
      <c r="R138" s="25"/>
      <c r="S138" s="26">
        <v>10</v>
      </c>
      <c r="T138" s="114"/>
      <c r="U138" s="114"/>
      <c r="V138" s="23" t="s">
        <v>470</v>
      </c>
      <c r="W138" s="75" t="s">
        <v>508</v>
      </c>
      <c r="X138" s="75" t="s">
        <v>509</v>
      </c>
      <c r="Y138" s="75" t="s">
        <v>348</v>
      </c>
      <c r="Z138" s="109" t="s">
        <v>510</v>
      </c>
      <c r="AA138" s="109"/>
      <c r="AB138" s="90" t="s">
        <v>475</v>
      </c>
    </row>
    <row r="139" spans="1:28" ht="15.75" customHeight="1">
      <c r="A139" s="85">
        <v>136</v>
      </c>
      <c r="B139" s="85" t="s">
        <v>401</v>
      </c>
      <c r="C139" s="106" t="s">
        <v>402</v>
      </c>
      <c r="D139" s="81"/>
      <c r="E139" s="117" t="s">
        <v>511</v>
      </c>
      <c r="F139" s="64">
        <v>35</v>
      </c>
      <c r="G139" s="116" t="s">
        <v>49</v>
      </c>
      <c r="H139" s="64">
        <v>16</v>
      </c>
      <c r="I139" s="64" t="s">
        <v>372</v>
      </c>
      <c r="J139" s="111" t="s">
        <v>51</v>
      </c>
      <c r="K139" s="65">
        <v>46144</v>
      </c>
      <c r="L139" s="64">
        <v>10</v>
      </c>
      <c r="M139" s="64" t="s">
        <v>60</v>
      </c>
      <c r="N139" s="64"/>
      <c r="O139" s="101">
        <v>10</v>
      </c>
      <c r="P139" s="114" t="s">
        <v>323</v>
      </c>
      <c r="Q139" s="21" t="str">
        <f ca="1">IFERROR(__xludf.DUMMYFUNCTION("IF(P139="""","""",IF(REGEXMATCH(UPPER(P139),""CITRATE""),""Citrate"",IF(REGEXMATCH(UPPER(P139),""ACETATE""),""Sodium Acetate"",IF(REGEXMATCH(UPPER(P139),""PBS""),""PBS"",IF(REGEXMATCH(UPPER(P139),""TRIS""),""Tris"",IF(REGEXMATCH(UPPER(P139),""HEPES""),""H"&amp;"EPES"",IF(REGEXMATCH(UPPER(P139),""HISTIDINE""),""Histidine"",IF(REGEXMATCH(UPPER(P139),""SUCCINATE""),""Succinate"",IF(REGEXMATCH(UPPER(P139),""GLYCINE""),""Glycine"",P139)))))))))"),"Citrate")</f>
        <v>Citrate</v>
      </c>
      <c r="R139" s="25"/>
      <c r="S139" s="26">
        <v>10</v>
      </c>
      <c r="T139" s="114"/>
      <c r="U139" s="114"/>
      <c r="V139" s="23" t="s">
        <v>470</v>
      </c>
      <c r="W139" s="75" t="s">
        <v>512</v>
      </c>
      <c r="X139" s="75" t="s">
        <v>513</v>
      </c>
      <c r="Y139" s="75" t="s">
        <v>191</v>
      </c>
      <c r="Z139" s="109" t="s">
        <v>514</v>
      </c>
      <c r="AA139" s="109"/>
      <c r="AB139" s="90" t="s">
        <v>475</v>
      </c>
    </row>
    <row r="140" spans="1:28" ht="15.75" customHeight="1">
      <c r="A140" s="85">
        <v>137</v>
      </c>
      <c r="B140" s="85" t="s">
        <v>401</v>
      </c>
      <c r="C140" s="106" t="s">
        <v>402</v>
      </c>
      <c r="D140" s="81"/>
      <c r="E140" s="117" t="s">
        <v>515</v>
      </c>
      <c r="F140" s="64">
        <v>35</v>
      </c>
      <c r="G140" s="116" t="s">
        <v>49</v>
      </c>
      <c r="H140" s="64">
        <v>16</v>
      </c>
      <c r="I140" s="64" t="s">
        <v>372</v>
      </c>
      <c r="J140" s="111" t="s">
        <v>51</v>
      </c>
      <c r="K140" s="65">
        <v>46144</v>
      </c>
      <c r="L140" s="64">
        <v>10</v>
      </c>
      <c r="M140" s="64" t="s">
        <v>60</v>
      </c>
      <c r="N140" s="64"/>
      <c r="O140" s="101">
        <v>10</v>
      </c>
      <c r="P140" s="114" t="s">
        <v>323</v>
      </c>
      <c r="Q140" s="21" t="str">
        <f ca="1">IFERROR(__xludf.DUMMYFUNCTION("IF(P140="""","""",IF(REGEXMATCH(UPPER(P140),""CITRATE""),""Citrate"",IF(REGEXMATCH(UPPER(P140),""ACETATE""),""Sodium Acetate"",IF(REGEXMATCH(UPPER(P140),""PBS""),""PBS"",IF(REGEXMATCH(UPPER(P140),""TRIS""),""Tris"",IF(REGEXMATCH(UPPER(P140),""HEPES""),""H"&amp;"EPES"",IF(REGEXMATCH(UPPER(P140),""HISTIDINE""),""Histidine"",IF(REGEXMATCH(UPPER(P140),""SUCCINATE""),""Succinate"",IF(REGEXMATCH(UPPER(P140),""GLYCINE""),""Glycine"",P140)))))))))"),"Citrate")</f>
        <v>Citrate</v>
      </c>
      <c r="R140" s="25"/>
      <c r="S140" s="26">
        <v>10</v>
      </c>
      <c r="T140" s="114"/>
      <c r="U140" s="114"/>
      <c r="V140" s="23" t="s">
        <v>470</v>
      </c>
      <c r="W140" s="75" t="s">
        <v>516</v>
      </c>
      <c r="X140" s="75" t="s">
        <v>517</v>
      </c>
      <c r="Y140" s="75" t="s">
        <v>518</v>
      </c>
      <c r="Z140" s="109" t="s">
        <v>519</v>
      </c>
      <c r="AA140" s="109"/>
      <c r="AB140" s="90" t="s">
        <v>475</v>
      </c>
    </row>
    <row r="141" spans="1:28" ht="15.75" customHeight="1">
      <c r="A141" s="85">
        <v>138</v>
      </c>
      <c r="B141" s="85" t="s">
        <v>401</v>
      </c>
      <c r="C141" s="106" t="s">
        <v>402</v>
      </c>
      <c r="D141" s="81"/>
      <c r="E141" s="117" t="s">
        <v>520</v>
      </c>
      <c r="F141" s="64">
        <v>35</v>
      </c>
      <c r="G141" s="116" t="s">
        <v>49</v>
      </c>
      <c r="H141" s="64">
        <v>16</v>
      </c>
      <c r="I141" s="64" t="s">
        <v>372</v>
      </c>
      <c r="J141" s="111" t="s">
        <v>51</v>
      </c>
      <c r="K141" s="65">
        <v>46144</v>
      </c>
      <c r="L141" s="64">
        <v>10</v>
      </c>
      <c r="M141" s="64" t="s">
        <v>60</v>
      </c>
      <c r="N141" s="64"/>
      <c r="O141" s="101">
        <v>10</v>
      </c>
      <c r="P141" s="114" t="s">
        <v>323</v>
      </c>
      <c r="Q141" s="21" t="str">
        <f ca="1">IFERROR(__xludf.DUMMYFUNCTION("IF(P141="""","""",IF(REGEXMATCH(UPPER(P141),""CITRATE""),""Citrate"",IF(REGEXMATCH(UPPER(P141),""ACETATE""),""Sodium Acetate"",IF(REGEXMATCH(UPPER(P141),""PBS""),""PBS"",IF(REGEXMATCH(UPPER(P141),""TRIS""),""Tris"",IF(REGEXMATCH(UPPER(P141),""HEPES""),""H"&amp;"EPES"",IF(REGEXMATCH(UPPER(P141),""HISTIDINE""),""Histidine"",IF(REGEXMATCH(UPPER(P141),""SUCCINATE""),""Succinate"",IF(REGEXMATCH(UPPER(P141),""GLYCINE""),""Glycine"",P141)))))))))"),"Citrate")</f>
        <v>Citrate</v>
      </c>
      <c r="R141" s="25"/>
      <c r="S141" s="26">
        <v>10</v>
      </c>
      <c r="T141" s="114"/>
      <c r="U141" s="114"/>
      <c r="V141" s="23" t="s">
        <v>470</v>
      </c>
      <c r="W141" s="75" t="s">
        <v>521</v>
      </c>
      <c r="X141" s="75" t="s">
        <v>436</v>
      </c>
      <c r="Y141" s="75" t="s">
        <v>522</v>
      </c>
      <c r="Z141" s="109" t="s">
        <v>523</v>
      </c>
      <c r="AA141" s="109"/>
      <c r="AB141" s="90" t="s">
        <v>475</v>
      </c>
    </row>
    <row r="142" spans="1:28" ht="15.75" customHeight="1">
      <c r="A142" s="85">
        <v>139</v>
      </c>
      <c r="B142" s="85" t="s">
        <v>401</v>
      </c>
      <c r="C142" s="106" t="s">
        <v>402</v>
      </c>
      <c r="D142" s="81"/>
      <c r="E142" s="117" t="s">
        <v>524</v>
      </c>
      <c r="F142" s="64">
        <v>35</v>
      </c>
      <c r="G142" s="116" t="s">
        <v>49</v>
      </c>
      <c r="H142" s="64">
        <v>16</v>
      </c>
      <c r="I142" s="64" t="s">
        <v>372</v>
      </c>
      <c r="J142" s="111" t="s">
        <v>51</v>
      </c>
      <c r="K142" s="65">
        <v>46144</v>
      </c>
      <c r="L142" s="64">
        <v>10</v>
      </c>
      <c r="M142" s="64" t="s">
        <v>60</v>
      </c>
      <c r="N142" s="64"/>
      <c r="O142" s="101">
        <v>10</v>
      </c>
      <c r="P142" s="114" t="s">
        <v>323</v>
      </c>
      <c r="Q142" s="21" t="str">
        <f ca="1">IFERROR(__xludf.DUMMYFUNCTION("IF(P142="""","""",IF(REGEXMATCH(UPPER(P142),""CITRATE""),""Citrate"",IF(REGEXMATCH(UPPER(P142),""ACETATE""),""Sodium Acetate"",IF(REGEXMATCH(UPPER(P142),""PBS""),""PBS"",IF(REGEXMATCH(UPPER(P142),""TRIS""),""Tris"",IF(REGEXMATCH(UPPER(P142),""HEPES""),""H"&amp;"EPES"",IF(REGEXMATCH(UPPER(P142),""HISTIDINE""),""Histidine"",IF(REGEXMATCH(UPPER(P142),""SUCCINATE""),""Succinate"",IF(REGEXMATCH(UPPER(P142),""GLYCINE""),""Glycine"",P142)))))))))"),"Citrate")</f>
        <v>Citrate</v>
      </c>
      <c r="R142" s="25"/>
      <c r="S142" s="26">
        <v>10</v>
      </c>
      <c r="T142" s="114"/>
      <c r="U142" s="114"/>
      <c r="V142" s="23" t="s">
        <v>470</v>
      </c>
      <c r="W142" s="75" t="s">
        <v>525</v>
      </c>
      <c r="X142" s="75" t="s">
        <v>526</v>
      </c>
      <c r="Y142" s="75" t="s">
        <v>527</v>
      </c>
      <c r="Z142" s="109" t="s">
        <v>528</v>
      </c>
      <c r="AA142" s="109"/>
      <c r="AB142" s="90" t="s">
        <v>475</v>
      </c>
    </row>
    <row r="143" spans="1:28" ht="15.75" customHeight="1">
      <c r="A143" s="85">
        <v>140</v>
      </c>
      <c r="B143" s="85" t="s">
        <v>401</v>
      </c>
      <c r="C143" s="106" t="s">
        <v>402</v>
      </c>
      <c r="D143" s="81"/>
      <c r="E143" s="117" t="s">
        <v>529</v>
      </c>
      <c r="F143" s="64">
        <v>35</v>
      </c>
      <c r="G143" s="116" t="s">
        <v>49</v>
      </c>
      <c r="H143" s="64">
        <v>16</v>
      </c>
      <c r="I143" s="64" t="s">
        <v>372</v>
      </c>
      <c r="J143" s="111" t="s">
        <v>51</v>
      </c>
      <c r="K143" s="65">
        <v>46144</v>
      </c>
      <c r="L143" s="64">
        <v>10</v>
      </c>
      <c r="M143" s="64" t="s">
        <v>60</v>
      </c>
      <c r="N143" s="64"/>
      <c r="O143" s="101">
        <v>10</v>
      </c>
      <c r="P143" s="114" t="s">
        <v>323</v>
      </c>
      <c r="Q143" s="21" t="str">
        <f ca="1">IFERROR(__xludf.DUMMYFUNCTION("IF(P143="""","""",IF(REGEXMATCH(UPPER(P143),""CITRATE""),""Citrate"",IF(REGEXMATCH(UPPER(P143),""ACETATE""),""Sodium Acetate"",IF(REGEXMATCH(UPPER(P143),""PBS""),""PBS"",IF(REGEXMATCH(UPPER(P143),""TRIS""),""Tris"",IF(REGEXMATCH(UPPER(P143),""HEPES""),""H"&amp;"EPES"",IF(REGEXMATCH(UPPER(P143),""HISTIDINE""),""Histidine"",IF(REGEXMATCH(UPPER(P143),""SUCCINATE""),""Succinate"",IF(REGEXMATCH(UPPER(P143),""GLYCINE""),""Glycine"",P143)))))))))"),"Citrate")</f>
        <v>Citrate</v>
      </c>
      <c r="R143" s="25"/>
      <c r="S143" s="26">
        <v>10</v>
      </c>
      <c r="T143" s="114"/>
      <c r="U143" s="114"/>
      <c r="V143" s="23" t="s">
        <v>470</v>
      </c>
      <c r="W143" s="75" t="s">
        <v>530</v>
      </c>
      <c r="X143" s="75" t="s">
        <v>531</v>
      </c>
      <c r="Y143" s="75" t="s">
        <v>532</v>
      </c>
      <c r="Z143" s="109" t="s">
        <v>533</v>
      </c>
      <c r="AA143" s="109"/>
      <c r="AB143" s="90" t="s">
        <v>475</v>
      </c>
    </row>
    <row r="144" spans="1:28" ht="15.75" customHeight="1">
      <c r="A144" s="85">
        <v>141</v>
      </c>
      <c r="B144" s="85" t="s">
        <v>401</v>
      </c>
      <c r="C144" s="106" t="s">
        <v>402</v>
      </c>
      <c r="D144" s="81"/>
      <c r="E144" s="117" t="s">
        <v>411</v>
      </c>
      <c r="F144" s="64">
        <v>35</v>
      </c>
      <c r="G144" s="116" t="s">
        <v>49</v>
      </c>
      <c r="H144" s="64">
        <v>16</v>
      </c>
      <c r="I144" s="64" t="s">
        <v>372</v>
      </c>
      <c r="J144" s="111" t="s">
        <v>51</v>
      </c>
      <c r="K144" s="65">
        <v>46144</v>
      </c>
      <c r="L144" s="64">
        <v>10</v>
      </c>
      <c r="M144" s="64" t="s">
        <v>60</v>
      </c>
      <c r="N144" s="64"/>
      <c r="O144" s="101">
        <v>10</v>
      </c>
      <c r="P144" s="114" t="s">
        <v>323</v>
      </c>
      <c r="Q144" s="21" t="str">
        <f ca="1">IFERROR(__xludf.DUMMYFUNCTION("IF(P144="""","""",IF(REGEXMATCH(UPPER(P144),""CITRATE""),""Citrate"",IF(REGEXMATCH(UPPER(P144),""ACETATE""),""Sodium Acetate"",IF(REGEXMATCH(UPPER(P144),""PBS""),""PBS"",IF(REGEXMATCH(UPPER(P144),""TRIS""),""Tris"",IF(REGEXMATCH(UPPER(P144),""HEPES""),""H"&amp;"EPES"",IF(REGEXMATCH(UPPER(P144),""HISTIDINE""),""Histidine"",IF(REGEXMATCH(UPPER(P144),""SUCCINATE""),""Succinate"",IF(REGEXMATCH(UPPER(P144),""GLYCINE""),""Glycine"",P144)))))))))"),"Citrate")</f>
        <v>Citrate</v>
      </c>
      <c r="R144" s="25"/>
      <c r="S144" s="26">
        <v>10</v>
      </c>
      <c r="T144" s="114"/>
      <c r="U144" s="114"/>
      <c r="V144" s="23" t="s">
        <v>470</v>
      </c>
      <c r="W144" s="75" t="s">
        <v>534</v>
      </c>
      <c r="X144" s="75" t="s">
        <v>535</v>
      </c>
      <c r="Y144" s="75" t="s">
        <v>536</v>
      </c>
      <c r="Z144" s="109" t="s">
        <v>537</v>
      </c>
      <c r="AA144" s="109"/>
      <c r="AB144" s="90" t="s">
        <v>475</v>
      </c>
    </row>
    <row r="145" spans="1:28" ht="15.75" customHeight="1">
      <c r="A145" s="85">
        <v>142</v>
      </c>
      <c r="B145" s="85" t="s">
        <v>401</v>
      </c>
      <c r="C145" s="106" t="s">
        <v>402</v>
      </c>
      <c r="D145" s="81"/>
      <c r="E145" s="117" t="s">
        <v>538</v>
      </c>
      <c r="F145" s="64">
        <v>35</v>
      </c>
      <c r="G145" s="116" t="s">
        <v>49</v>
      </c>
      <c r="H145" s="64">
        <v>16</v>
      </c>
      <c r="I145" s="64" t="s">
        <v>372</v>
      </c>
      <c r="J145" s="111" t="s">
        <v>51</v>
      </c>
      <c r="K145" s="65">
        <v>46144</v>
      </c>
      <c r="L145" s="64">
        <v>10</v>
      </c>
      <c r="M145" s="64" t="s">
        <v>60</v>
      </c>
      <c r="N145" s="64"/>
      <c r="O145" s="101">
        <v>10</v>
      </c>
      <c r="P145" s="114" t="s">
        <v>323</v>
      </c>
      <c r="Q145" s="21" t="str">
        <f ca="1">IFERROR(__xludf.DUMMYFUNCTION("IF(P145="""","""",IF(REGEXMATCH(UPPER(P145),""CITRATE""),""Citrate"",IF(REGEXMATCH(UPPER(P145),""ACETATE""),""Sodium Acetate"",IF(REGEXMATCH(UPPER(P145),""PBS""),""PBS"",IF(REGEXMATCH(UPPER(P145),""TRIS""),""Tris"",IF(REGEXMATCH(UPPER(P145),""HEPES""),""H"&amp;"EPES"",IF(REGEXMATCH(UPPER(P145),""HISTIDINE""),""Histidine"",IF(REGEXMATCH(UPPER(P145),""SUCCINATE""),""Succinate"",IF(REGEXMATCH(UPPER(P145),""GLYCINE""),""Glycine"",P145)))))))))"),"Citrate")</f>
        <v>Citrate</v>
      </c>
      <c r="R145" s="25"/>
      <c r="S145" s="26">
        <v>10</v>
      </c>
      <c r="T145" s="114"/>
      <c r="U145" s="114"/>
      <c r="V145" s="23" t="s">
        <v>470</v>
      </c>
      <c r="W145" s="75" t="s">
        <v>539</v>
      </c>
      <c r="X145" s="75" t="s">
        <v>540</v>
      </c>
      <c r="Y145" s="75" t="s">
        <v>541</v>
      </c>
      <c r="Z145" s="109" t="s">
        <v>331</v>
      </c>
      <c r="AA145" s="109"/>
      <c r="AB145" s="90" t="s">
        <v>475</v>
      </c>
    </row>
    <row r="146" spans="1:28" ht="15.75" customHeight="1">
      <c r="A146" s="85">
        <v>143</v>
      </c>
      <c r="B146" s="85" t="s">
        <v>401</v>
      </c>
      <c r="C146" s="106" t="s">
        <v>402</v>
      </c>
      <c r="D146" s="81"/>
      <c r="E146" s="117" t="s">
        <v>542</v>
      </c>
      <c r="F146" s="64">
        <v>35</v>
      </c>
      <c r="G146" s="116" t="s">
        <v>49</v>
      </c>
      <c r="H146" s="64">
        <v>16</v>
      </c>
      <c r="I146" s="64" t="s">
        <v>372</v>
      </c>
      <c r="J146" s="111" t="s">
        <v>51</v>
      </c>
      <c r="K146" s="65">
        <v>46144</v>
      </c>
      <c r="L146" s="64">
        <v>10</v>
      </c>
      <c r="M146" s="64" t="s">
        <v>60</v>
      </c>
      <c r="N146" s="64"/>
      <c r="O146" s="101">
        <v>10</v>
      </c>
      <c r="P146" s="114" t="s">
        <v>323</v>
      </c>
      <c r="Q146" s="21" t="str">
        <f ca="1">IFERROR(__xludf.DUMMYFUNCTION("IF(P146="""","""",IF(REGEXMATCH(UPPER(P146),""CITRATE""),""Citrate"",IF(REGEXMATCH(UPPER(P146),""ACETATE""),""Sodium Acetate"",IF(REGEXMATCH(UPPER(P146),""PBS""),""PBS"",IF(REGEXMATCH(UPPER(P146),""TRIS""),""Tris"",IF(REGEXMATCH(UPPER(P146),""HEPES""),""H"&amp;"EPES"",IF(REGEXMATCH(UPPER(P146),""HISTIDINE""),""Histidine"",IF(REGEXMATCH(UPPER(P146),""SUCCINATE""),""Succinate"",IF(REGEXMATCH(UPPER(P146),""GLYCINE""),""Glycine"",P146)))))))))"),"Citrate")</f>
        <v>Citrate</v>
      </c>
      <c r="R146" s="25"/>
      <c r="S146" s="26">
        <v>10</v>
      </c>
      <c r="T146" s="114"/>
      <c r="U146" s="114"/>
      <c r="V146" s="23" t="s">
        <v>470</v>
      </c>
      <c r="W146" s="75" t="s">
        <v>543</v>
      </c>
      <c r="X146" s="75" t="s">
        <v>544</v>
      </c>
      <c r="Y146" s="75" t="s">
        <v>545</v>
      </c>
      <c r="Z146" s="109" t="s">
        <v>546</v>
      </c>
      <c r="AA146" s="109"/>
      <c r="AB146" s="90" t="s">
        <v>475</v>
      </c>
    </row>
    <row r="147" spans="1:28" ht="15.75" customHeight="1">
      <c r="A147" s="85">
        <v>144</v>
      </c>
      <c r="B147" s="85" t="s">
        <v>401</v>
      </c>
      <c r="C147" s="106" t="s">
        <v>402</v>
      </c>
      <c r="D147" s="81"/>
      <c r="E147" s="117" t="s">
        <v>547</v>
      </c>
      <c r="F147" s="64">
        <v>35</v>
      </c>
      <c r="G147" s="116" t="s">
        <v>49</v>
      </c>
      <c r="H147" s="64">
        <v>16</v>
      </c>
      <c r="I147" s="64" t="s">
        <v>372</v>
      </c>
      <c r="J147" s="111" t="s">
        <v>51</v>
      </c>
      <c r="K147" s="65">
        <v>46144</v>
      </c>
      <c r="L147" s="64">
        <v>10</v>
      </c>
      <c r="M147" s="64" t="s">
        <v>60</v>
      </c>
      <c r="N147" s="64"/>
      <c r="O147" s="101">
        <v>10</v>
      </c>
      <c r="P147" s="114" t="s">
        <v>323</v>
      </c>
      <c r="Q147" s="21" t="str">
        <f ca="1">IFERROR(__xludf.DUMMYFUNCTION("IF(P147="""","""",IF(REGEXMATCH(UPPER(P147),""CITRATE""),""Citrate"",IF(REGEXMATCH(UPPER(P147),""ACETATE""),""Sodium Acetate"",IF(REGEXMATCH(UPPER(P147),""PBS""),""PBS"",IF(REGEXMATCH(UPPER(P147),""TRIS""),""Tris"",IF(REGEXMATCH(UPPER(P147),""HEPES""),""H"&amp;"EPES"",IF(REGEXMATCH(UPPER(P147),""HISTIDINE""),""Histidine"",IF(REGEXMATCH(UPPER(P147),""SUCCINATE""),""Succinate"",IF(REGEXMATCH(UPPER(P147),""GLYCINE""),""Glycine"",P147)))))))))"),"Citrate")</f>
        <v>Citrate</v>
      </c>
      <c r="R147" s="25"/>
      <c r="S147" s="26">
        <v>10</v>
      </c>
      <c r="T147" s="114"/>
      <c r="U147" s="114"/>
      <c r="V147" s="23" t="s">
        <v>470</v>
      </c>
      <c r="W147" s="75" t="s">
        <v>548</v>
      </c>
      <c r="X147" s="75" t="s">
        <v>222</v>
      </c>
      <c r="Y147" s="75" t="s">
        <v>549</v>
      </c>
      <c r="Z147" s="109" t="s">
        <v>550</v>
      </c>
      <c r="AA147" s="109"/>
      <c r="AB147" s="90" t="s">
        <v>475</v>
      </c>
    </row>
    <row r="148" spans="1:28" ht="15.75" customHeight="1">
      <c r="A148" s="85">
        <v>145</v>
      </c>
      <c r="B148" s="85" t="s">
        <v>401</v>
      </c>
      <c r="C148" s="106" t="s">
        <v>402</v>
      </c>
      <c r="D148" s="81"/>
      <c r="E148" s="117" t="s">
        <v>551</v>
      </c>
      <c r="F148" s="64">
        <v>35</v>
      </c>
      <c r="G148" s="116" t="s">
        <v>49</v>
      </c>
      <c r="H148" s="64">
        <v>16</v>
      </c>
      <c r="I148" s="64" t="s">
        <v>372</v>
      </c>
      <c r="J148" s="111" t="s">
        <v>51</v>
      </c>
      <c r="K148" s="65">
        <v>46144</v>
      </c>
      <c r="L148" s="64">
        <v>10</v>
      </c>
      <c r="M148" s="64" t="s">
        <v>60</v>
      </c>
      <c r="N148" s="64"/>
      <c r="O148" s="101">
        <v>10</v>
      </c>
      <c r="P148" s="114" t="s">
        <v>323</v>
      </c>
      <c r="Q148" s="21" t="str">
        <f ca="1">IFERROR(__xludf.DUMMYFUNCTION("IF(P148="""","""",IF(REGEXMATCH(UPPER(P148),""CITRATE""),""Citrate"",IF(REGEXMATCH(UPPER(P148),""ACETATE""),""Sodium Acetate"",IF(REGEXMATCH(UPPER(P148),""PBS""),""PBS"",IF(REGEXMATCH(UPPER(P148),""TRIS""),""Tris"",IF(REGEXMATCH(UPPER(P148),""HEPES""),""H"&amp;"EPES"",IF(REGEXMATCH(UPPER(P148),""HISTIDINE""),""Histidine"",IF(REGEXMATCH(UPPER(P148),""SUCCINATE""),""Succinate"",IF(REGEXMATCH(UPPER(P148),""GLYCINE""),""Glycine"",P148)))))))))"),"Citrate")</f>
        <v>Citrate</v>
      </c>
      <c r="R148" s="25"/>
      <c r="S148" s="26">
        <v>10</v>
      </c>
      <c r="T148" s="114"/>
      <c r="U148" s="114"/>
      <c r="V148" s="23" t="s">
        <v>470</v>
      </c>
      <c r="W148" s="75" t="s">
        <v>552</v>
      </c>
      <c r="X148" s="75" t="s">
        <v>544</v>
      </c>
      <c r="Y148" s="75" t="s">
        <v>553</v>
      </c>
      <c r="Z148" s="109" t="s">
        <v>554</v>
      </c>
      <c r="AA148" s="109"/>
      <c r="AB148" s="90" t="s">
        <v>475</v>
      </c>
    </row>
    <row r="149" spans="1:28" ht="15.75" customHeight="1">
      <c r="A149" s="85">
        <v>146</v>
      </c>
      <c r="B149" s="85" t="s">
        <v>401</v>
      </c>
      <c r="C149" s="106" t="s">
        <v>402</v>
      </c>
      <c r="D149" s="81"/>
      <c r="E149" s="117" t="s">
        <v>555</v>
      </c>
      <c r="F149" s="64">
        <v>35</v>
      </c>
      <c r="G149" s="116" t="s">
        <v>49</v>
      </c>
      <c r="H149" s="64">
        <v>16</v>
      </c>
      <c r="I149" s="64" t="s">
        <v>372</v>
      </c>
      <c r="J149" s="111" t="s">
        <v>51</v>
      </c>
      <c r="K149" s="65">
        <v>46144</v>
      </c>
      <c r="L149" s="64">
        <v>10</v>
      </c>
      <c r="M149" s="64" t="s">
        <v>60</v>
      </c>
      <c r="N149" s="64"/>
      <c r="O149" s="101">
        <v>10</v>
      </c>
      <c r="P149" s="114" t="s">
        <v>323</v>
      </c>
      <c r="Q149" s="21" t="str">
        <f ca="1">IFERROR(__xludf.DUMMYFUNCTION("IF(P149="""","""",IF(REGEXMATCH(UPPER(P149),""CITRATE""),""Citrate"",IF(REGEXMATCH(UPPER(P149),""ACETATE""),""Sodium Acetate"",IF(REGEXMATCH(UPPER(P149),""PBS""),""PBS"",IF(REGEXMATCH(UPPER(P149),""TRIS""),""Tris"",IF(REGEXMATCH(UPPER(P149),""HEPES""),""H"&amp;"EPES"",IF(REGEXMATCH(UPPER(P149),""HISTIDINE""),""Histidine"",IF(REGEXMATCH(UPPER(P149),""SUCCINATE""),""Succinate"",IF(REGEXMATCH(UPPER(P149),""GLYCINE""),""Glycine"",P149)))))))))"),"Citrate")</f>
        <v>Citrate</v>
      </c>
      <c r="R149" s="25"/>
      <c r="S149" s="26">
        <v>10</v>
      </c>
      <c r="T149" s="114"/>
      <c r="U149" s="114"/>
      <c r="V149" s="23" t="s">
        <v>470</v>
      </c>
      <c r="W149" s="75" t="s">
        <v>556</v>
      </c>
      <c r="X149" s="75" t="s">
        <v>557</v>
      </c>
      <c r="Y149" s="75" t="s">
        <v>558</v>
      </c>
      <c r="Z149" s="109" t="s">
        <v>559</v>
      </c>
      <c r="AA149" s="109"/>
      <c r="AB149" s="90" t="s">
        <v>475</v>
      </c>
    </row>
    <row r="150" spans="1:28" ht="15.75" customHeight="1">
      <c r="A150" s="85">
        <v>147</v>
      </c>
      <c r="B150" s="85" t="s">
        <v>401</v>
      </c>
      <c r="C150" s="106" t="s">
        <v>402</v>
      </c>
      <c r="D150" s="81"/>
      <c r="E150" s="117" t="s">
        <v>560</v>
      </c>
      <c r="F150" s="64">
        <v>35</v>
      </c>
      <c r="G150" s="116" t="s">
        <v>49</v>
      </c>
      <c r="H150" s="64">
        <v>16</v>
      </c>
      <c r="I150" s="64" t="s">
        <v>372</v>
      </c>
      <c r="J150" s="111" t="s">
        <v>51</v>
      </c>
      <c r="K150" s="65">
        <v>46144</v>
      </c>
      <c r="L150" s="64">
        <v>10</v>
      </c>
      <c r="M150" s="64" t="s">
        <v>60</v>
      </c>
      <c r="N150" s="64"/>
      <c r="O150" s="101">
        <v>10</v>
      </c>
      <c r="P150" s="114" t="s">
        <v>323</v>
      </c>
      <c r="Q150" s="21" t="str">
        <f ca="1">IFERROR(__xludf.DUMMYFUNCTION("IF(P150="""","""",IF(REGEXMATCH(UPPER(P150),""CITRATE""),""Citrate"",IF(REGEXMATCH(UPPER(P150),""ACETATE""),""Sodium Acetate"",IF(REGEXMATCH(UPPER(P150),""PBS""),""PBS"",IF(REGEXMATCH(UPPER(P150),""TRIS""),""Tris"",IF(REGEXMATCH(UPPER(P150),""HEPES""),""H"&amp;"EPES"",IF(REGEXMATCH(UPPER(P150),""HISTIDINE""),""Histidine"",IF(REGEXMATCH(UPPER(P150),""SUCCINATE""),""Succinate"",IF(REGEXMATCH(UPPER(P150),""GLYCINE""),""Glycine"",P150)))))))))"),"Citrate")</f>
        <v>Citrate</v>
      </c>
      <c r="R150" s="25"/>
      <c r="S150" s="26">
        <v>10</v>
      </c>
      <c r="T150" s="114"/>
      <c r="U150" s="114"/>
      <c r="V150" s="23" t="s">
        <v>470</v>
      </c>
      <c r="W150" s="75" t="s">
        <v>561</v>
      </c>
      <c r="X150" s="75" t="s">
        <v>562</v>
      </c>
      <c r="Y150" s="75" t="s">
        <v>563</v>
      </c>
      <c r="Z150" s="109" t="s">
        <v>564</v>
      </c>
      <c r="AA150" s="109"/>
      <c r="AB150" s="90" t="s">
        <v>475</v>
      </c>
    </row>
    <row r="151" spans="1:28" ht="15.75" customHeight="1">
      <c r="A151" s="85">
        <v>148</v>
      </c>
      <c r="B151" s="85" t="s">
        <v>401</v>
      </c>
      <c r="C151" s="106" t="s">
        <v>402</v>
      </c>
      <c r="D151" s="81"/>
      <c r="E151" s="117" t="s">
        <v>565</v>
      </c>
      <c r="F151" s="64">
        <v>35</v>
      </c>
      <c r="G151" s="116" t="s">
        <v>49</v>
      </c>
      <c r="H151" s="64">
        <v>16</v>
      </c>
      <c r="I151" s="64" t="s">
        <v>372</v>
      </c>
      <c r="J151" s="111" t="s">
        <v>51</v>
      </c>
      <c r="K151" s="65">
        <v>46144</v>
      </c>
      <c r="L151" s="64">
        <v>10</v>
      </c>
      <c r="M151" s="64" t="s">
        <v>60</v>
      </c>
      <c r="N151" s="64"/>
      <c r="O151" s="101">
        <v>10</v>
      </c>
      <c r="P151" s="114" t="s">
        <v>323</v>
      </c>
      <c r="Q151" s="21" t="str">
        <f ca="1">IFERROR(__xludf.DUMMYFUNCTION("IF(P151="""","""",IF(REGEXMATCH(UPPER(P151),""CITRATE""),""Citrate"",IF(REGEXMATCH(UPPER(P151),""ACETATE""),""Sodium Acetate"",IF(REGEXMATCH(UPPER(P151),""PBS""),""PBS"",IF(REGEXMATCH(UPPER(P151),""TRIS""),""Tris"",IF(REGEXMATCH(UPPER(P151),""HEPES""),""H"&amp;"EPES"",IF(REGEXMATCH(UPPER(P151),""HISTIDINE""),""Histidine"",IF(REGEXMATCH(UPPER(P151),""SUCCINATE""),""Succinate"",IF(REGEXMATCH(UPPER(P151),""GLYCINE""),""Glycine"",P151)))))))))"),"Citrate")</f>
        <v>Citrate</v>
      </c>
      <c r="R151" s="25"/>
      <c r="S151" s="26">
        <v>10</v>
      </c>
      <c r="T151" s="114"/>
      <c r="U151" s="114"/>
      <c r="V151" s="23" t="s">
        <v>470</v>
      </c>
      <c r="W151" s="75" t="s">
        <v>512</v>
      </c>
      <c r="X151" s="75" t="s">
        <v>566</v>
      </c>
      <c r="Y151" s="75" t="s">
        <v>567</v>
      </c>
      <c r="Z151" s="109" t="s">
        <v>568</v>
      </c>
      <c r="AA151" s="109"/>
      <c r="AB151" s="90" t="s">
        <v>475</v>
      </c>
    </row>
    <row r="152" spans="1:28" ht="15.75" customHeight="1">
      <c r="A152" s="85">
        <v>149</v>
      </c>
      <c r="B152" s="85" t="s">
        <v>401</v>
      </c>
      <c r="C152" s="106" t="s">
        <v>402</v>
      </c>
      <c r="D152" s="81"/>
      <c r="E152" s="117" t="s">
        <v>569</v>
      </c>
      <c r="F152" s="64">
        <v>35</v>
      </c>
      <c r="G152" s="116" t="s">
        <v>49</v>
      </c>
      <c r="H152" s="64">
        <v>16</v>
      </c>
      <c r="I152" s="64" t="s">
        <v>372</v>
      </c>
      <c r="J152" s="111" t="s">
        <v>51</v>
      </c>
      <c r="K152" s="65">
        <v>46144</v>
      </c>
      <c r="L152" s="64">
        <v>10</v>
      </c>
      <c r="M152" s="64" t="s">
        <v>60</v>
      </c>
      <c r="N152" s="64"/>
      <c r="O152" s="101">
        <v>10</v>
      </c>
      <c r="P152" s="114" t="s">
        <v>323</v>
      </c>
      <c r="Q152" s="21" t="str">
        <f ca="1">IFERROR(__xludf.DUMMYFUNCTION("IF(P152="""","""",IF(REGEXMATCH(UPPER(P152),""CITRATE""),""Citrate"",IF(REGEXMATCH(UPPER(P152),""ACETATE""),""Sodium Acetate"",IF(REGEXMATCH(UPPER(P152),""PBS""),""PBS"",IF(REGEXMATCH(UPPER(P152),""TRIS""),""Tris"",IF(REGEXMATCH(UPPER(P152),""HEPES""),""H"&amp;"EPES"",IF(REGEXMATCH(UPPER(P152),""HISTIDINE""),""Histidine"",IF(REGEXMATCH(UPPER(P152),""SUCCINATE""),""Succinate"",IF(REGEXMATCH(UPPER(P152),""GLYCINE""),""Glycine"",P152)))))))))"),"Citrate")</f>
        <v>Citrate</v>
      </c>
      <c r="R152" s="25"/>
      <c r="S152" s="26">
        <v>10</v>
      </c>
      <c r="T152" s="114"/>
      <c r="U152" s="114"/>
      <c r="V152" s="23" t="s">
        <v>470</v>
      </c>
      <c r="W152" s="75" t="s">
        <v>570</v>
      </c>
      <c r="X152" s="75" t="s">
        <v>571</v>
      </c>
      <c r="Y152" s="75" t="s">
        <v>572</v>
      </c>
      <c r="Z152" s="109" t="s">
        <v>573</v>
      </c>
      <c r="AA152" s="109"/>
      <c r="AB152" s="90" t="s">
        <v>475</v>
      </c>
    </row>
    <row r="153" spans="1:28" ht="15.75" customHeight="1">
      <c r="A153" s="85">
        <v>150</v>
      </c>
      <c r="B153" s="85" t="s">
        <v>401</v>
      </c>
      <c r="C153" s="106" t="s">
        <v>402</v>
      </c>
      <c r="D153" s="81"/>
      <c r="E153" s="117" t="s">
        <v>574</v>
      </c>
      <c r="F153" s="64">
        <v>35</v>
      </c>
      <c r="G153" s="116" t="s">
        <v>49</v>
      </c>
      <c r="H153" s="64">
        <v>16</v>
      </c>
      <c r="I153" s="64" t="s">
        <v>372</v>
      </c>
      <c r="J153" s="111" t="s">
        <v>51</v>
      </c>
      <c r="K153" s="65">
        <v>46144</v>
      </c>
      <c r="L153" s="64">
        <v>10</v>
      </c>
      <c r="M153" s="64" t="s">
        <v>60</v>
      </c>
      <c r="N153" s="64"/>
      <c r="O153" s="101">
        <v>10</v>
      </c>
      <c r="P153" s="114" t="s">
        <v>323</v>
      </c>
      <c r="Q153" s="21" t="str">
        <f ca="1">IFERROR(__xludf.DUMMYFUNCTION("IF(P153="""","""",IF(REGEXMATCH(UPPER(P153),""CITRATE""),""Citrate"",IF(REGEXMATCH(UPPER(P153),""ACETATE""),""Sodium Acetate"",IF(REGEXMATCH(UPPER(P153),""PBS""),""PBS"",IF(REGEXMATCH(UPPER(P153),""TRIS""),""Tris"",IF(REGEXMATCH(UPPER(P153),""HEPES""),""H"&amp;"EPES"",IF(REGEXMATCH(UPPER(P153),""HISTIDINE""),""Histidine"",IF(REGEXMATCH(UPPER(P153),""SUCCINATE""),""Succinate"",IF(REGEXMATCH(UPPER(P153),""GLYCINE""),""Glycine"",P153)))))))))"),"Citrate")</f>
        <v>Citrate</v>
      </c>
      <c r="R153" s="25"/>
      <c r="S153" s="26">
        <v>10</v>
      </c>
      <c r="T153" s="114"/>
      <c r="U153" s="114"/>
      <c r="V153" s="23" t="s">
        <v>470</v>
      </c>
      <c r="W153" s="75" t="s">
        <v>575</v>
      </c>
      <c r="X153" s="75" t="s">
        <v>576</v>
      </c>
      <c r="Y153" s="75" t="s">
        <v>577</v>
      </c>
      <c r="Z153" s="109" t="s">
        <v>578</v>
      </c>
      <c r="AA153" s="109"/>
      <c r="AB153" s="90" t="s">
        <v>475</v>
      </c>
    </row>
    <row r="154" spans="1:28" ht="15.75" customHeight="1">
      <c r="A154" s="85">
        <v>151</v>
      </c>
      <c r="B154" s="85" t="s">
        <v>401</v>
      </c>
      <c r="C154" s="106" t="s">
        <v>402</v>
      </c>
      <c r="D154" s="81"/>
      <c r="E154" s="117" t="s">
        <v>469</v>
      </c>
      <c r="F154" s="64" t="s">
        <v>579</v>
      </c>
      <c r="G154" s="116" t="s">
        <v>49</v>
      </c>
      <c r="H154" s="64">
        <v>16</v>
      </c>
      <c r="I154" s="64" t="s">
        <v>372</v>
      </c>
      <c r="J154" s="111" t="s">
        <v>51</v>
      </c>
      <c r="K154" s="65">
        <v>46144</v>
      </c>
      <c r="L154" s="64">
        <v>10</v>
      </c>
      <c r="M154" s="64" t="s">
        <v>60</v>
      </c>
      <c r="N154" s="64"/>
      <c r="O154" s="101">
        <v>10</v>
      </c>
      <c r="P154" s="114" t="s">
        <v>323</v>
      </c>
      <c r="Q154" s="21" t="str">
        <f ca="1">IFERROR(__xludf.DUMMYFUNCTION("IF(P154="""","""",IF(REGEXMATCH(UPPER(P154),""CITRATE""),""Citrate"",IF(REGEXMATCH(UPPER(P154),""ACETATE""),""Sodium Acetate"",IF(REGEXMATCH(UPPER(P154),""PBS""),""PBS"",IF(REGEXMATCH(UPPER(P154),""TRIS""),""Tris"",IF(REGEXMATCH(UPPER(P154),""HEPES""),""H"&amp;"EPES"",IF(REGEXMATCH(UPPER(P154),""HISTIDINE""),""Histidine"",IF(REGEXMATCH(UPPER(P154),""SUCCINATE""),""Succinate"",IF(REGEXMATCH(UPPER(P154),""GLYCINE""),""Glycine"",P154)))))))))"),"Citrate")</f>
        <v>Citrate</v>
      </c>
      <c r="R154" s="25"/>
      <c r="S154" s="26">
        <v>10</v>
      </c>
      <c r="T154" s="114"/>
      <c r="U154" s="114"/>
      <c r="V154" s="23" t="s">
        <v>470</v>
      </c>
      <c r="W154" s="75" t="s">
        <v>580</v>
      </c>
      <c r="X154" s="75" t="s">
        <v>581</v>
      </c>
      <c r="Y154" s="75" t="s">
        <v>582</v>
      </c>
      <c r="Z154" s="109" t="s">
        <v>583</v>
      </c>
      <c r="AA154" s="109"/>
      <c r="AB154" s="90" t="s">
        <v>475</v>
      </c>
    </row>
    <row r="155" spans="1:28" ht="15.75" customHeight="1">
      <c r="A155" s="85">
        <v>152</v>
      </c>
      <c r="B155" s="85" t="s">
        <v>401</v>
      </c>
      <c r="C155" s="106" t="s">
        <v>402</v>
      </c>
      <c r="D155" s="81"/>
      <c r="E155" s="117" t="s">
        <v>476</v>
      </c>
      <c r="F155" s="64" t="s">
        <v>579</v>
      </c>
      <c r="G155" s="116" t="s">
        <v>49</v>
      </c>
      <c r="H155" s="64">
        <v>16</v>
      </c>
      <c r="I155" s="64" t="s">
        <v>372</v>
      </c>
      <c r="J155" s="111" t="s">
        <v>51</v>
      </c>
      <c r="K155" s="65">
        <v>46144</v>
      </c>
      <c r="L155" s="64">
        <v>10</v>
      </c>
      <c r="M155" s="64" t="s">
        <v>60</v>
      </c>
      <c r="N155" s="64"/>
      <c r="O155" s="101">
        <v>10</v>
      </c>
      <c r="P155" s="114" t="s">
        <v>323</v>
      </c>
      <c r="Q155" s="21" t="str">
        <f ca="1">IFERROR(__xludf.DUMMYFUNCTION("IF(P155="""","""",IF(REGEXMATCH(UPPER(P155),""CITRATE""),""Citrate"",IF(REGEXMATCH(UPPER(P155),""ACETATE""),""Sodium Acetate"",IF(REGEXMATCH(UPPER(P155),""PBS""),""PBS"",IF(REGEXMATCH(UPPER(P155),""TRIS""),""Tris"",IF(REGEXMATCH(UPPER(P155),""HEPES""),""H"&amp;"EPES"",IF(REGEXMATCH(UPPER(P155),""HISTIDINE""),""Histidine"",IF(REGEXMATCH(UPPER(P155),""SUCCINATE""),""Succinate"",IF(REGEXMATCH(UPPER(P155),""GLYCINE""),""Glycine"",P155)))))))))"),"Citrate")</f>
        <v>Citrate</v>
      </c>
      <c r="R155" s="25"/>
      <c r="S155" s="26">
        <v>10</v>
      </c>
      <c r="T155" s="114"/>
      <c r="U155" s="114"/>
      <c r="V155" s="23" t="s">
        <v>470</v>
      </c>
      <c r="W155" s="75" t="s">
        <v>584</v>
      </c>
      <c r="X155" s="75" t="s">
        <v>585</v>
      </c>
      <c r="Y155" s="75" t="s">
        <v>586</v>
      </c>
      <c r="Z155" s="109" t="s">
        <v>587</v>
      </c>
      <c r="AA155" s="109"/>
      <c r="AB155" s="90" t="s">
        <v>475</v>
      </c>
    </row>
    <row r="156" spans="1:28" ht="15.75" customHeight="1">
      <c r="A156" s="85">
        <v>153</v>
      </c>
      <c r="B156" s="85" t="s">
        <v>401</v>
      </c>
      <c r="C156" s="106" t="s">
        <v>402</v>
      </c>
      <c r="D156" s="81"/>
      <c r="E156" s="117" t="s">
        <v>499</v>
      </c>
      <c r="F156" s="64" t="s">
        <v>579</v>
      </c>
      <c r="G156" s="116" t="s">
        <v>49</v>
      </c>
      <c r="H156" s="64">
        <v>16</v>
      </c>
      <c r="I156" s="64" t="s">
        <v>372</v>
      </c>
      <c r="J156" s="111" t="s">
        <v>51</v>
      </c>
      <c r="K156" s="65">
        <v>46144</v>
      </c>
      <c r="L156" s="64">
        <v>10</v>
      </c>
      <c r="M156" s="64" t="s">
        <v>60</v>
      </c>
      <c r="N156" s="64"/>
      <c r="O156" s="101">
        <v>10</v>
      </c>
      <c r="P156" s="114" t="s">
        <v>323</v>
      </c>
      <c r="Q156" s="21" t="str">
        <f ca="1">IFERROR(__xludf.DUMMYFUNCTION("IF(P156="""","""",IF(REGEXMATCH(UPPER(P156),""CITRATE""),""Citrate"",IF(REGEXMATCH(UPPER(P156),""ACETATE""),""Sodium Acetate"",IF(REGEXMATCH(UPPER(P156),""PBS""),""PBS"",IF(REGEXMATCH(UPPER(P156),""TRIS""),""Tris"",IF(REGEXMATCH(UPPER(P156),""HEPES""),""H"&amp;"EPES"",IF(REGEXMATCH(UPPER(P156),""HISTIDINE""),""Histidine"",IF(REGEXMATCH(UPPER(P156),""SUCCINATE""),""Succinate"",IF(REGEXMATCH(UPPER(P156),""GLYCINE""),""Glycine"",P156)))))))))"),"Citrate")</f>
        <v>Citrate</v>
      </c>
      <c r="R156" s="25"/>
      <c r="S156" s="26">
        <v>10</v>
      </c>
      <c r="T156" s="114"/>
      <c r="U156" s="114"/>
      <c r="V156" s="23" t="s">
        <v>470</v>
      </c>
      <c r="W156" s="75" t="s">
        <v>588</v>
      </c>
      <c r="X156" s="75" t="s">
        <v>589</v>
      </c>
      <c r="Y156" s="75" t="s">
        <v>590</v>
      </c>
      <c r="Z156" s="109" t="s">
        <v>591</v>
      </c>
      <c r="AA156" s="109"/>
      <c r="AB156" s="90" t="s">
        <v>475</v>
      </c>
    </row>
    <row r="157" spans="1:28" ht="15.75" customHeight="1">
      <c r="A157" s="85">
        <v>154</v>
      </c>
      <c r="B157" s="85" t="s">
        <v>401</v>
      </c>
      <c r="C157" s="106" t="s">
        <v>402</v>
      </c>
      <c r="D157" s="81"/>
      <c r="E157" s="117" t="s">
        <v>502</v>
      </c>
      <c r="F157" s="64" t="s">
        <v>579</v>
      </c>
      <c r="G157" s="116" t="s">
        <v>49</v>
      </c>
      <c r="H157" s="64">
        <v>16</v>
      </c>
      <c r="I157" s="64" t="s">
        <v>372</v>
      </c>
      <c r="J157" s="111" t="s">
        <v>51</v>
      </c>
      <c r="K157" s="65">
        <v>46144</v>
      </c>
      <c r="L157" s="64">
        <v>10</v>
      </c>
      <c r="M157" s="64" t="s">
        <v>60</v>
      </c>
      <c r="N157" s="64"/>
      <c r="O157" s="101">
        <v>10</v>
      </c>
      <c r="P157" s="114" t="s">
        <v>323</v>
      </c>
      <c r="Q157" s="21" t="str">
        <f ca="1">IFERROR(__xludf.DUMMYFUNCTION("IF(P157="""","""",IF(REGEXMATCH(UPPER(P157),""CITRATE""),""Citrate"",IF(REGEXMATCH(UPPER(P157),""ACETATE""),""Sodium Acetate"",IF(REGEXMATCH(UPPER(P157),""PBS""),""PBS"",IF(REGEXMATCH(UPPER(P157),""TRIS""),""Tris"",IF(REGEXMATCH(UPPER(P157),""HEPES""),""H"&amp;"EPES"",IF(REGEXMATCH(UPPER(P157),""HISTIDINE""),""Histidine"",IF(REGEXMATCH(UPPER(P157),""SUCCINATE""),""Succinate"",IF(REGEXMATCH(UPPER(P157),""GLYCINE""),""Glycine"",P157)))))))))"),"Citrate")</f>
        <v>Citrate</v>
      </c>
      <c r="R157" s="25"/>
      <c r="S157" s="26">
        <v>10</v>
      </c>
      <c r="T157" s="114"/>
      <c r="U157" s="114"/>
      <c r="V157" s="23" t="s">
        <v>470</v>
      </c>
      <c r="W157" s="75" t="s">
        <v>592</v>
      </c>
      <c r="X157" s="75" t="s">
        <v>209</v>
      </c>
      <c r="Y157" s="75">
        <v>15.03</v>
      </c>
      <c r="Z157" s="109" t="s">
        <v>593</v>
      </c>
      <c r="AA157" s="109"/>
      <c r="AB157" s="90" t="s">
        <v>475</v>
      </c>
    </row>
    <row r="158" spans="1:28" ht="15.75" customHeight="1">
      <c r="A158" s="85">
        <v>155</v>
      </c>
      <c r="B158" s="85" t="s">
        <v>401</v>
      </c>
      <c r="C158" s="106" t="s">
        <v>402</v>
      </c>
      <c r="D158" s="81"/>
      <c r="E158" s="117" t="s">
        <v>507</v>
      </c>
      <c r="F158" s="64" t="s">
        <v>579</v>
      </c>
      <c r="G158" s="116" t="s">
        <v>49</v>
      </c>
      <c r="H158" s="64">
        <v>16</v>
      </c>
      <c r="I158" s="64" t="s">
        <v>372</v>
      </c>
      <c r="J158" s="111" t="s">
        <v>51</v>
      </c>
      <c r="K158" s="65">
        <v>46144</v>
      </c>
      <c r="L158" s="64">
        <v>10</v>
      </c>
      <c r="M158" s="64" t="s">
        <v>60</v>
      </c>
      <c r="N158" s="64"/>
      <c r="O158" s="101">
        <v>10</v>
      </c>
      <c r="P158" s="114" t="s">
        <v>323</v>
      </c>
      <c r="Q158" s="21" t="str">
        <f ca="1">IFERROR(__xludf.DUMMYFUNCTION("IF(P158="""","""",IF(REGEXMATCH(UPPER(P158),""CITRATE""),""Citrate"",IF(REGEXMATCH(UPPER(P158),""ACETATE""),""Sodium Acetate"",IF(REGEXMATCH(UPPER(P158),""PBS""),""PBS"",IF(REGEXMATCH(UPPER(P158),""TRIS""),""Tris"",IF(REGEXMATCH(UPPER(P158),""HEPES""),""H"&amp;"EPES"",IF(REGEXMATCH(UPPER(P158),""HISTIDINE""),""Histidine"",IF(REGEXMATCH(UPPER(P158),""SUCCINATE""),""Succinate"",IF(REGEXMATCH(UPPER(P158),""GLYCINE""),""Glycine"",P158)))))))))"),"Citrate")</f>
        <v>Citrate</v>
      </c>
      <c r="R158" s="25"/>
      <c r="S158" s="26">
        <v>10</v>
      </c>
      <c r="T158" s="114"/>
      <c r="U158" s="114"/>
      <c r="V158" s="23" t="s">
        <v>470</v>
      </c>
      <c r="W158" s="75" t="s">
        <v>594</v>
      </c>
      <c r="X158" s="75" t="s">
        <v>595</v>
      </c>
      <c r="Y158" s="75" t="s">
        <v>596</v>
      </c>
      <c r="Z158" s="109" t="s">
        <v>597</v>
      </c>
      <c r="AA158" s="109"/>
      <c r="AB158" s="90" t="s">
        <v>475</v>
      </c>
    </row>
    <row r="159" spans="1:28" ht="15.75" customHeight="1">
      <c r="A159" s="85">
        <v>156</v>
      </c>
      <c r="B159" s="85" t="s">
        <v>401</v>
      </c>
      <c r="C159" s="106" t="s">
        <v>402</v>
      </c>
      <c r="D159" s="81"/>
      <c r="E159" s="117" t="s">
        <v>511</v>
      </c>
      <c r="F159" s="64" t="s">
        <v>579</v>
      </c>
      <c r="G159" s="116" t="s">
        <v>49</v>
      </c>
      <c r="H159" s="64">
        <v>16</v>
      </c>
      <c r="I159" s="64" t="s">
        <v>372</v>
      </c>
      <c r="J159" s="111" t="s">
        <v>51</v>
      </c>
      <c r="K159" s="65">
        <v>46144</v>
      </c>
      <c r="L159" s="64">
        <v>10</v>
      </c>
      <c r="M159" s="64" t="s">
        <v>60</v>
      </c>
      <c r="N159" s="64"/>
      <c r="O159" s="101">
        <v>10</v>
      </c>
      <c r="P159" s="114" t="s">
        <v>323</v>
      </c>
      <c r="Q159" s="21" t="str">
        <f ca="1">IFERROR(__xludf.DUMMYFUNCTION("IF(P159="""","""",IF(REGEXMATCH(UPPER(P159),""CITRATE""),""Citrate"",IF(REGEXMATCH(UPPER(P159),""ACETATE""),""Sodium Acetate"",IF(REGEXMATCH(UPPER(P159),""PBS""),""PBS"",IF(REGEXMATCH(UPPER(P159),""TRIS""),""Tris"",IF(REGEXMATCH(UPPER(P159),""HEPES""),""H"&amp;"EPES"",IF(REGEXMATCH(UPPER(P159),""HISTIDINE""),""Histidine"",IF(REGEXMATCH(UPPER(P159),""SUCCINATE""),""Succinate"",IF(REGEXMATCH(UPPER(P159),""GLYCINE""),""Glycine"",P159)))))))))"),"Citrate")</f>
        <v>Citrate</v>
      </c>
      <c r="R159" s="25"/>
      <c r="S159" s="26">
        <v>10</v>
      </c>
      <c r="T159" s="114"/>
      <c r="U159" s="114"/>
      <c r="V159" s="23" t="s">
        <v>470</v>
      </c>
      <c r="W159" s="75" t="s">
        <v>598</v>
      </c>
      <c r="X159" s="75" t="s">
        <v>599</v>
      </c>
      <c r="Y159" s="75" t="s">
        <v>600</v>
      </c>
      <c r="Z159" s="109" t="s">
        <v>601</v>
      </c>
      <c r="AA159" s="109"/>
      <c r="AB159" s="90" t="s">
        <v>475</v>
      </c>
    </row>
    <row r="160" spans="1:28" ht="15.75" customHeight="1">
      <c r="A160" s="85">
        <v>157</v>
      </c>
      <c r="B160" s="85" t="s">
        <v>401</v>
      </c>
      <c r="C160" s="106" t="s">
        <v>402</v>
      </c>
      <c r="D160" s="81"/>
      <c r="E160" s="117" t="s">
        <v>411</v>
      </c>
      <c r="F160" s="64" t="s">
        <v>579</v>
      </c>
      <c r="G160" s="116" t="s">
        <v>49</v>
      </c>
      <c r="H160" s="64">
        <v>16</v>
      </c>
      <c r="I160" s="64" t="s">
        <v>372</v>
      </c>
      <c r="J160" s="111" t="s">
        <v>51</v>
      </c>
      <c r="K160" s="65">
        <v>46144</v>
      </c>
      <c r="L160" s="64">
        <v>10</v>
      </c>
      <c r="M160" s="64" t="s">
        <v>60</v>
      </c>
      <c r="N160" s="64"/>
      <c r="O160" s="101">
        <v>10</v>
      </c>
      <c r="P160" s="114" t="s">
        <v>323</v>
      </c>
      <c r="Q160" s="21" t="str">
        <f ca="1">IFERROR(__xludf.DUMMYFUNCTION("IF(P160="""","""",IF(REGEXMATCH(UPPER(P160),""CITRATE""),""Citrate"",IF(REGEXMATCH(UPPER(P160),""ACETATE""),""Sodium Acetate"",IF(REGEXMATCH(UPPER(P160),""PBS""),""PBS"",IF(REGEXMATCH(UPPER(P160),""TRIS""),""Tris"",IF(REGEXMATCH(UPPER(P160),""HEPES""),""H"&amp;"EPES"",IF(REGEXMATCH(UPPER(P160),""HISTIDINE""),""Histidine"",IF(REGEXMATCH(UPPER(P160),""SUCCINATE""),""Succinate"",IF(REGEXMATCH(UPPER(P160),""GLYCINE""),""Glycine"",P160)))))))))"),"Citrate")</f>
        <v>Citrate</v>
      </c>
      <c r="R160" s="25"/>
      <c r="S160" s="26">
        <v>10</v>
      </c>
      <c r="T160" s="114"/>
      <c r="U160" s="114"/>
      <c r="V160" s="23" t="s">
        <v>470</v>
      </c>
      <c r="W160" s="75" t="s">
        <v>602</v>
      </c>
      <c r="X160" s="75" t="s">
        <v>603</v>
      </c>
      <c r="Y160" s="75" t="s">
        <v>604</v>
      </c>
      <c r="Z160" s="109" t="s">
        <v>605</v>
      </c>
      <c r="AA160" s="109"/>
      <c r="AB160" s="90" t="s">
        <v>475</v>
      </c>
    </row>
    <row r="161" spans="1:28" ht="15.75" customHeight="1">
      <c r="A161" s="85">
        <v>158</v>
      </c>
      <c r="B161" s="85" t="s">
        <v>401</v>
      </c>
      <c r="C161" s="106" t="s">
        <v>402</v>
      </c>
      <c r="D161" s="81"/>
      <c r="E161" s="117" t="s">
        <v>538</v>
      </c>
      <c r="F161" s="64" t="s">
        <v>579</v>
      </c>
      <c r="G161" s="116" t="s">
        <v>49</v>
      </c>
      <c r="H161" s="64">
        <v>16</v>
      </c>
      <c r="I161" s="64" t="s">
        <v>372</v>
      </c>
      <c r="J161" s="111" t="s">
        <v>51</v>
      </c>
      <c r="K161" s="65">
        <v>46144</v>
      </c>
      <c r="L161" s="64">
        <v>10</v>
      </c>
      <c r="M161" s="64" t="s">
        <v>60</v>
      </c>
      <c r="N161" s="64"/>
      <c r="O161" s="101">
        <v>10</v>
      </c>
      <c r="P161" s="114" t="s">
        <v>323</v>
      </c>
      <c r="Q161" s="21" t="str">
        <f ca="1">IFERROR(__xludf.DUMMYFUNCTION("IF(P161="""","""",IF(REGEXMATCH(UPPER(P161),""CITRATE""),""Citrate"",IF(REGEXMATCH(UPPER(P161),""ACETATE""),""Sodium Acetate"",IF(REGEXMATCH(UPPER(P161),""PBS""),""PBS"",IF(REGEXMATCH(UPPER(P161),""TRIS""),""Tris"",IF(REGEXMATCH(UPPER(P161),""HEPES""),""H"&amp;"EPES"",IF(REGEXMATCH(UPPER(P161),""HISTIDINE""),""Histidine"",IF(REGEXMATCH(UPPER(P161),""SUCCINATE""),""Succinate"",IF(REGEXMATCH(UPPER(P161),""GLYCINE""),""Glycine"",P161)))))))))"),"Citrate")</f>
        <v>Citrate</v>
      </c>
      <c r="R161" s="25"/>
      <c r="S161" s="26">
        <v>10</v>
      </c>
      <c r="T161" s="114"/>
      <c r="U161" s="114"/>
      <c r="V161" s="23" t="s">
        <v>470</v>
      </c>
      <c r="W161" s="75" t="s">
        <v>606</v>
      </c>
      <c r="X161" s="75" t="s">
        <v>607</v>
      </c>
      <c r="Y161" s="75" t="s">
        <v>608</v>
      </c>
      <c r="Z161" s="109" t="s">
        <v>609</v>
      </c>
      <c r="AA161" s="109"/>
      <c r="AB161" s="90" t="s">
        <v>475</v>
      </c>
    </row>
    <row r="162" spans="1:28" ht="15.75" customHeight="1">
      <c r="A162" s="85">
        <v>159</v>
      </c>
      <c r="B162" s="85" t="s">
        <v>401</v>
      </c>
      <c r="C162" s="106" t="s">
        <v>402</v>
      </c>
      <c r="D162" s="81"/>
      <c r="E162" s="117" t="s">
        <v>542</v>
      </c>
      <c r="F162" s="64" t="s">
        <v>579</v>
      </c>
      <c r="G162" s="116" t="s">
        <v>49</v>
      </c>
      <c r="H162" s="64">
        <v>16</v>
      </c>
      <c r="I162" s="64" t="s">
        <v>372</v>
      </c>
      <c r="J162" s="111" t="s">
        <v>51</v>
      </c>
      <c r="K162" s="65">
        <v>46144</v>
      </c>
      <c r="L162" s="64">
        <v>10</v>
      </c>
      <c r="M162" s="64" t="s">
        <v>60</v>
      </c>
      <c r="N162" s="64"/>
      <c r="O162" s="101">
        <v>10</v>
      </c>
      <c r="P162" s="114" t="s">
        <v>323</v>
      </c>
      <c r="Q162" s="21" t="str">
        <f ca="1">IFERROR(__xludf.DUMMYFUNCTION("IF(P162="""","""",IF(REGEXMATCH(UPPER(P162),""CITRATE""),""Citrate"",IF(REGEXMATCH(UPPER(P162),""ACETATE""),""Sodium Acetate"",IF(REGEXMATCH(UPPER(P162),""PBS""),""PBS"",IF(REGEXMATCH(UPPER(P162),""TRIS""),""Tris"",IF(REGEXMATCH(UPPER(P162),""HEPES""),""H"&amp;"EPES"",IF(REGEXMATCH(UPPER(P162),""HISTIDINE""),""Histidine"",IF(REGEXMATCH(UPPER(P162),""SUCCINATE""),""Succinate"",IF(REGEXMATCH(UPPER(P162),""GLYCINE""),""Glycine"",P162)))))))))"),"Citrate")</f>
        <v>Citrate</v>
      </c>
      <c r="R162" s="25"/>
      <c r="S162" s="26">
        <v>10</v>
      </c>
      <c r="T162" s="114"/>
      <c r="U162" s="114"/>
      <c r="V162" s="23" t="s">
        <v>470</v>
      </c>
      <c r="W162" s="75" t="s">
        <v>610</v>
      </c>
      <c r="X162" s="75" t="s">
        <v>611</v>
      </c>
      <c r="Y162" s="75" t="s">
        <v>612</v>
      </c>
      <c r="Z162" s="109" t="s">
        <v>613</v>
      </c>
      <c r="AA162" s="109"/>
      <c r="AB162" s="90" t="s">
        <v>475</v>
      </c>
    </row>
    <row r="163" spans="1:28" ht="15.75" customHeight="1">
      <c r="A163" s="85">
        <v>160</v>
      </c>
      <c r="B163" s="85" t="s">
        <v>401</v>
      </c>
      <c r="C163" s="106" t="s">
        <v>402</v>
      </c>
      <c r="D163" s="81"/>
      <c r="E163" s="117" t="s">
        <v>547</v>
      </c>
      <c r="F163" s="64" t="s">
        <v>579</v>
      </c>
      <c r="G163" s="116" t="s">
        <v>49</v>
      </c>
      <c r="H163" s="64">
        <v>16</v>
      </c>
      <c r="I163" s="64" t="s">
        <v>372</v>
      </c>
      <c r="J163" s="111" t="s">
        <v>51</v>
      </c>
      <c r="K163" s="65">
        <v>46144</v>
      </c>
      <c r="L163" s="64">
        <v>10</v>
      </c>
      <c r="M163" s="64" t="s">
        <v>60</v>
      </c>
      <c r="N163" s="64"/>
      <c r="O163" s="101">
        <v>10</v>
      </c>
      <c r="P163" s="114" t="s">
        <v>323</v>
      </c>
      <c r="Q163" s="21" t="str">
        <f ca="1">IFERROR(__xludf.DUMMYFUNCTION("IF(P163="""","""",IF(REGEXMATCH(UPPER(P163),""CITRATE""),""Citrate"",IF(REGEXMATCH(UPPER(P163),""ACETATE""),""Sodium Acetate"",IF(REGEXMATCH(UPPER(P163),""PBS""),""PBS"",IF(REGEXMATCH(UPPER(P163),""TRIS""),""Tris"",IF(REGEXMATCH(UPPER(P163),""HEPES""),""H"&amp;"EPES"",IF(REGEXMATCH(UPPER(P163),""HISTIDINE""),""Histidine"",IF(REGEXMATCH(UPPER(P163),""SUCCINATE""),""Succinate"",IF(REGEXMATCH(UPPER(P163),""GLYCINE""),""Glycine"",P163)))))))))"),"Citrate")</f>
        <v>Citrate</v>
      </c>
      <c r="R163" s="25"/>
      <c r="S163" s="26">
        <v>10</v>
      </c>
      <c r="T163" s="114"/>
      <c r="U163" s="114"/>
      <c r="V163" s="23" t="s">
        <v>470</v>
      </c>
      <c r="W163" s="75" t="s">
        <v>614</v>
      </c>
      <c r="X163" s="75" t="s">
        <v>581</v>
      </c>
      <c r="Y163" s="75" t="s">
        <v>615</v>
      </c>
      <c r="Z163" s="109" t="s">
        <v>616</v>
      </c>
      <c r="AA163" s="109"/>
      <c r="AB163" s="90" t="s">
        <v>475</v>
      </c>
    </row>
    <row r="164" spans="1:28" ht="15.75" customHeight="1">
      <c r="A164" s="85">
        <v>161</v>
      </c>
      <c r="B164" s="85" t="s">
        <v>401</v>
      </c>
      <c r="C164" s="106" t="s">
        <v>402</v>
      </c>
      <c r="D164" s="81"/>
      <c r="E164" s="117" t="s">
        <v>569</v>
      </c>
      <c r="F164" s="64" t="s">
        <v>579</v>
      </c>
      <c r="G164" s="116" t="s">
        <v>49</v>
      </c>
      <c r="H164" s="64">
        <v>16</v>
      </c>
      <c r="I164" s="64" t="s">
        <v>372</v>
      </c>
      <c r="J164" s="111" t="s">
        <v>51</v>
      </c>
      <c r="K164" s="65">
        <v>46144</v>
      </c>
      <c r="L164" s="64">
        <v>10</v>
      </c>
      <c r="M164" s="64" t="s">
        <v>60</v>
      </c>
      <c r="N164" s="64"/>
      <c r="O164" s="101">
        <v>10</v>
      </c>
      <c r="P164" s="114" t="s">
        <v>323</v>
      </c>
      <c r="Q164" s="21" t="str">
        <f ca="1">IFERROR(__xludf.DUMMYFUNCTION("IF(P164="""","""",IF(REGEXMATCH(UPPER(P164),""CITRATE""),""Citrate"",IF(REGEXMATCH(UPPER(P164),""ACETATE""),""Sodium Acetate"",IF(REGEXMATCH(UPPER(P164),""PBS""),""PBS"",IF(REGEXMATCH(UPPER(P164),""TRIS""),""Tris"",IF(REGEXMATCH(UPPER(P164),""HEPES""),""H"&amp;"EPES"",IF(REGEXMATCH(UPPER(P164),""HISTIDINE""),""Histidine"",IF(REGEXMATCH(UPPER(P164),""SUCCINATE""),""Succinate"",IF(REGEXMATCH(UPPER(P164),""GLYCINE""),""Glycine"",P164)))))))))"),"Citrate")</f>
        <v>Citrate</v>
      </c>
      <c r="R164" s="25"/>
      <c r="S164" s="26">
        <v>10</v>
      </c>
      <c r="T164" s="114"/>
      <c r="U164" s="114"/>
      <c r="V164" s="23" t="s">
        <v>470</v>
      </c>
      <c r="W164" s="75" t="s">
        <v>617</v>
      </c>
      <c r="X164" s="75" t="s">
        <v>618</v>
      </c>
      <c r="Y164" s="75" t="s">
        <v>619</v>
      </c>
      <c r="Z164" s="109" t="s">
        <v>620</v>
      </c>
      <c r="AA164" s="109"/>
      <c r="AB164" s="90" t="s">
        <v>475</v>
      </c>
    </row>
    <row r="165" spans="1:28" ht="15.75" customHeight="1">
      <c r="A165" s="85">
        <v>162</v>
      </c>
      <c r="B165" s="85" t="s">
        <v>401</v>
      </c>
      <c r="C165" s="106" t="s">
        <v>402</v>
      </c>
      <c r="D165" s="81"/>
      <c r="E165" s="117" t="s">
        <v>574</v>
      </c>
      <c r="F165" s="64" t="s">
        <v>579</v>
      </c>
      <c r="G165" s="116" t="s">
        <v>49</v>
      </c>
      <c r="H165" s="64">
        <v>16</v>
      </c>
      <c r="I165" s="64" t="s">
        <v>372</v>
      </c>
      <c r="J165" s="111" t="s">
        <v>51</v>
      </c>
      <c r="K165" s="65">
        <v>46144</v>
      </c>
      <c r="L165" s="64">
        <v>10</v>
      </c>
      <c r="M165" s="64" t="s">
        <v>60</v>
      </c>
      <c r="N165" s="64"/>
      <c r="O165" s="101">
        <v>10</v>
      </c>
      <c r="P165" s="114" t="s">
        <v>323</v>
      </c>
      <c r="Q165" s="21" t="str">
        <f ca="1">IFERROR(__xludf.DUMMYFUNCTION("IF(P165="""","""",IF(REGEXMATCH(UPPER(P165),""CITRATE""),""Citrate"",IF(REGEXMATCH(UPPER(P165),""ACETATE""),""Sodium Acetate"",IF(REGEXMATCH(UPPER(P165),""PBS""),""PBS"",IF(REGEXMATCH(UPPER(P165),""TRIS""),""Tris"",IF(REGEXMATCH(UPPER(P165),""HEPES""),""H"&amp;"EPES"",IF(REGEXMATCH(UPPER(P165),""HISTIDINE""),""Histidine"",IF(REGEXMATCH(UPPER(P165),""SUCCINATE""),""Succinate"",IF(REGEXMATCH(UPPER(P165),""GLYCINE""),""Glycine"",P165)))))))))"),"Citrate")</f>
        <v>Citrate</v>
      </c>
      <c r="R165" s="25"/>
      <c r="S165" s="26">
        <v>10</v>
      </c>
      <c r="T165" s="114"/>
      <c r="U165" s="114"/>
      <c r="V165" s="23" t="s">
        <v>470</v>
      </c>
      <c r="W165" s="75" t="s">
        <v>621</v>
      </c>
      <c r="X165" s="75" t="s">
        <v>535</v>
      </c>
      <c r="Y165" s="75" t="s">
        <v>622</v>
      </c>
      <c r="Z165" s="109" t="s">
        <v>623</v>
      </c>
      <c r="AA165" s="109"/>
      <c r="AB165" s="90" t="s">
        <v>475</v>
      </c>
    </row>
    <row r="166" spans="1:28" ht="15.75" customHeight="1">
      <c r="A166" s="85">
        <v>163</v>
      </c>
      <c r="B166" s="85" t="s">
        <v>401</v>
      </c>
      <c r="C166" s="106" t="s">
        <v>402</v>
      </c>
      <c r="D166" s="81"/>
      <c r="E166" s="117" t="s">
        <v>469</v>
      </c>
      <c r="F166" s="64" t="s">
        <v>579</v>
      </c>
      <c r="G166" s="116" t="s">
        <v>49</v>
      </c>
      <c r="H166" s="64">
        <v>16</v>
      </c>
      <c r="I166" s="64" t="s">
        <v>372</v>
      </c>
      <c r="J166" s="111" t="s">
        <v>51</v>
      </c>
      <c r="K166" s="65">
        <v>46144</v>
      </c>
      <c r="L166" s="64">
        <v>10</v>
      </c>
      <c r="M166" s="64" t="s">
        <v>60</v>
      </c>
      <c r="N166" s="64"/>
      <c r="O166" s="101">
        <v>10</v>
      </c>
      <c r="P166" s="114" t="s">
        <v>323</v>
      </c>
      <c r="Q166" s="21" t="str">
        <f ca="1">IFERROR(__xludf.DUMMYFUNCTION("IF(P166="""","""",IF(REGEXMATCH(UPPER(P166),""CITRATE""),""Citrate"",IF(REGEXMATCH(UPPER(P166),""ACETATE""),""Sodium Acetate"",IF(REGEXMATCH(UPPER(P166),""PBS""),""PBS"",IF(REGEXMATCH(UPPER(P166),""TRIS""),""Tris"",IF(REGEXMATCH(UPPER(P166),""HEPES""),""H"&amp;"EPES"",IF(REGEXMATCH(UPPER(P166),""HISTIDINE""),""Histidine"",IF(REGEXMATCH(UPPER(P166),""SUCCINATE""),""Succinate"",IF(REGEXMATCH(UPPER(P166),""GLYCINE""),""Glycine"",P166)))))))))"),"Citrate")</f>
        <v>Citrate</v>
      </c>
      <c r="R166" s="25"/>
      <c r="S166" s="26">
        <v>10</v>
      </c>
      <c r="T166" s="114"/>
      <c r="U166" s="114"/>
      <c r="V166" s="23" t="s">
        <v>470</v>
      </c>
      <c r="W166" s="75" t="s">
        <v>624</v>
      </c>
      <c r="X166" s="75" t="s">
        <v>625</v>
      </c>
      <c r="Y166" s="75" t="s">
        <v>626</v>
      </c>
      <c r="Z166" s="109" t="s">
        <v>627</v>
      </c>
      <c r="AA166" s="109"/>
      <c r="AB166" s="90" t="s">
        <v>475</v>
      </c>
    </row>
    <row r="167" spans="1:28" ht="15.75" customHeight="1">
      <c r="A167" s="85">
        <v>164</v>
      </c>
      <c r="B167" s="85" t="s">
        <v>401</v>
      </c>
      <c r="C167" s="106" t="s">
        <v>402</v>
      </c>
      <c r="D167" s="81"/>
      <c r="E167" s="117" t="s">
        <v>476</v>
      </c>
      <c r="F167" s="64" t="s">
        <v>579</v>
      </c>
      <c r="G167" s="116" t="s">
        <v>49</v>
      </c>
      <c r="H167" s="64">
        <v>16</v>
      </c>
      <c r="I167" s="64" t="s">
        <v>372</v>
      </c>
      <c r="J167" s="111" t="s">
        <v>51</v>
      </c>
      <c r="K167" s="65">
        <v>46144</v>
      </c>
      <c r="L167" s="64">
        <v>10</v>
      </c>
      <c r="M167" s="64" t="s">
        <v>60</v>
      </c>
      <c r="N167" s="64"/>
      <c r="O167" s="101">
        <v>10</v>
      </c>
      <c r="P167" s="114" t="s">
        <v>323</v>
      </c>
      <c r="Q167" s="21" t="str">
        <f ca="1">IFERROR(__xludf.DUMMYFUNCTION("IF(P167="""","""",IF(REGEXMATCH(UPPER(P167),""CITRATE""),""Citrate"",IF(REGEXMATCH(UPPER(P167),""ACETATE""),""Sodium Acetate"",IF(REGEXMATCH(UPPER(P167),""PBS""),""PBS"",IF(REGEXMATCH(UPPER(P167),""TRIS""),""Tris"",IF(REGEXMATCH(UPPER(P167),""HEPES""),""H"&amp;"EPES"",IF(REGEXMATCH(UPPER(P167),""HISTIDINE""),""Histidine"",IF(REGEXMATCH(UPPER(P167),""SUCCINATE""),""Succinate"",IF(REGEXMATCH(UPPER(P167),""GLYCINE""),""Glycine"",P167)))))))))"),"Citrate")</f>
        <v>Citrate</v>
      </c>
      <c r="R167" s="25"/>
      <c r="S167" s="26">
        <v>10</v>
      </c>
      <c r="T167" s="114"/>
      <c r="U167" s="114"/>
      <c r="V167" s="23" t="s">
        <v>470</v>
      </c>
      <c r="W167" s="75" t="s">
        <v>628</v>
      </c>
      <c r="X167" s="75" t="s">
        <v>629</v>
      </c>
      <c r="Y167" s="75" t="s">
        <v>630</v>
      </c>
      <c r="Z167" s="109" t="s">
        <v>631</v>
      </c>
      <c r="AA167" s="109"/>
      <c r="AB167" s="90" t="s">
        <v>475</v>
      </c>
    </row>
    <row r="168" spans="1:28" ht="15.75" customHeight="1">
      <c r="A168" s="85">
        <v>165</v>
      </c>
      <c r="B168" s="85" t="s">
        <v>401</v>
      </c>
      <c r="C168" s="106" t="s">
        <v>402</v>
      </c>
      <c r="D168" s="81"/>
      <c r="E168" s="117" t="s">
        <v>499</v>
      </c>
      <c r="F168" s="64" t="s">
        <v>579</v>
      </c>
      <c r="G168" s="116" t="s">
        <v>49</v>
      </c>
      <c r="H168" s="64">
        <v>16</v>
      </c>
      <c r="I168" s="64" t="s">
        <v>372</v>
      </c>
      <c r="J168" s="111" t="s">
        <v>51</v>
      </c>
      <c r="K168" s="65">
        <v>46144</v>
      </c>
      <c r="L168" s="64">
        <v>10</v>
      </c>
      <c r="M168" s="64" t="s">
        <v>60</v>
      </c>
      <c r="N168" s="64"/>
      <c r="O168" s="101">
        <v>10</v>
      </c>
      <c r="P168" s="114" t="s">
        <v>323</v>
      </c>
      <c r="Q168" s="21" t="str">
        <f ca="1">IFERROR(__xludf.DUMMYFUNCTION("IF(P168="""","""",IF(REGEXMATCH(UPPER(P168),""CITRATE""),""Citrate"",IF(REGEXMATCH(UPPER(P168),""ACETATE""),""Sodium Acetate"",IF(REGEXMATCH(UPPER(P168),""PBS""),""PBS"",IF(REGEXMATCH(UPPER(P168),""TRIS""),""Tris"",IF(REGEXMATCH(UPPER(P168),""HEPES""),""H"&amp;"EPES"",IF(REGEXMATCH(UPPER(P168),""HISTIDINE""),""Histidine"",IF(REGEXMATCH(UPPER(P168),""SUCCINATE""),""Succinate"",IF(REGEXMATCH(UPPER(P168),""GLYCINE""),""Glycine"",P168)))))))))"),"Citrate")</f>
        <v>Citrate</v>
      </c>
      <c r="R168" s="25"/>
      <c r="S168" s="26">
        <v>10</v>
      </c>
      <c r="T168" s="114"/>
      <c r="U168" s="114"/>
      <c r="V168" s="23" t="s">
        <v>470</v>
      </c>
      <c r="W168" s="75" t="s">
        <v>632</v>
      </c>
      <c r="X168" s="75" t="s">
        <v>633</v>
      </c>
      <c r="Y168" s="75" t="s">
        <v>634</v>
      </c>
      <c r="Z168" s="109" t="s">
        <v>635</v>
      </c>
      <c r="AA168" s="109"/>
      <c r="AB168" s="90" t="s">
        <v>475</v>
      </c>
    </row>
    <row r="169" spans="1:28" ht="15.75" customHeight="1">
      <c r="A169" s="85">
        <v>166</v>
      </c>
      <c r="B169" s="85" t="s">
        <v>401</v>
      </c>
      <c r="C169" s="106" t="s">
        <v>402</v>
      </c>
      <c r="D169" s="81"/>
      <c r="E169" s="117" t="s">
        <v>502</v>
      </c>
      <c r="F169" s="64" t="s">
        <v>579</v>
      </c>
      <c r="G169" s="116" t="s">
        <v>49</v>
      </c>
      <c r="H169" s="64">
        <v>16</v>
      </c>
      <c r="I169" s="64" t="s">
        <v>372</v>
      </c>
      <c r="J169" s="111" t="s">
        <v>51</v>
      </c>
      <c r="K169" s="65">
        <v>46144</v>
      </c>
      <c r="L169" s="64">
        <v>10</v>
      </c>
      <c r="M169" s="64" t="s">
        <v>60</v>
      </c>
      <c r="N169" s="64"/>
      <c r="O169" s="101">
        <v>10</v>
      </c>
      <c r="P169" s="114" t="s">
        <v>323</v>
      </c>
      <c r="Q169" s="21" t="str">
        <f ca="1">IFERROR(__xludf.DUMMYFUNCTION("IF(P169="""","""",IF(REGEXMATCH(UPPER(P169),""CITRATE""),""Citrate"",IF(REGEXMATCH(UPPER(P169),""ACETATE""),""Sodium Acetate"",IF(REGEXMATCH(UPPER(P169),""PBS""),""PBS"",IF(REGEXMATCH(UPPER(P169),""TRIS""),""Tris"",IF(REGEXMATCH(UPPER(P169),""HEPES""),""H"&amp;"EPES"",IF(REGEXMATCH(UPPER(P169),""HISTIDINE""),""Histidine"",IF(REGEXMATCH(UPPER(P169),""SUCCINATE""),""Succinate"",IF(REGEXMATCH(UPPER(P169),""GLYCINE""),""Glycine"",P169)))))))))"),"Citrate")</f>
        <v>Citrate</v>
      </c>
      <c r="R169" s="25"/>
      <c r="S169" s="26">
        <v>10</v>
      </c>
      <c r="T169" s="114"/>
      <c r="U169" s="114"/>
      <c r="V169" s="23" t="s">
        <v>470</v>
      </c>
      <c r="W169" s="75" t="s">
        <v>636</v>
      </c>
      <c r="X169" s="75" t="s">
        <v>637</v>
      </c>
      <c r="Y169" s="75" t="s">
        <v>638</v>
      </c>
      <c r="Z169" s="109" t="s">
        <v>639</v>
      </c>
      <c r="AA169" s="109"/>
      <c r="AB169" s="90" t="s">
        <v>475</v>
      </c>
    </row>
    <row r="170" spans="1:28" ht="15.75" customHeight="1">
      <c r="A170" s="85">
        <v>167</v>
      </c>
      <c r="B170" s="85" t="s">
        <v>401</v>
      </c>
      <c r="C170" s="106" t="s">
        <v>402</v>
      </c>
      <c r="D170" s="81"/>
      <c r="E170" s="117" t="s">
        <v>507</v>
      </c>
      <c r="F170" s="64" t="s">
        <v>579</v>
      </c>
      <c r="G170" s="116" t="s">
        <v>49</v>
      </c>
      <c r="H170" s="64">
        <v>16</v>
      </c>
      <c r="I170" s="64" t="s">
        <v>372</v>
      </c>
      <c r="J170" s="111" t="s">
        <v>51</v>
      </c>
      <c r="K170" s="65">
        <v>46144</v>
      </c>
      <c r="L170" s="64">
        <v>10</v>
      </c>
      <c r="M170" s="64" t="s">
        <v>60</v>
      </c>
      <c r="N170" s="64"/>
      <c r="O170" s="101">
        <v>10</v>
      </c>
      <c r="P170" s="114" t="s">
        <v>323</v>
      </c>
      <c r="Q170" s="21" t="str">
        <f ca="1">IFERROR(__xludf.DUMMYFUNCTION("IF(P170="""","""",IF(REGEXMATCH(UPPER(P170),""CITRATE""),""Citrate"",IF(REGEXMATCH(UPPER(P170),""ACETATE""),""Sodium Acetate"",IF(REGEXMATCH(UPPER(P170),""PBS""),""PBS"",IF(REGEXMATCH(UPPER(P170),""TRIS""),""Tris"",IF(REGEXMATCH(UPPER(P170),""HEPES""),""H"&amp;"EPES"",IF(REGEXMATCH(UPPER(P170),""HISTIDINE""),""Histidine"",IF(REGEXMATCH(UPPER(P170),""SUCCINATE""),""Succinate"",IF(REGEXMATCH(UPPER(P170),""GLYCINE""),""Glycine"",P170)))))))))"),"Citrate")</f>
        <v>Citrate</v>
      </c>
      <c r="R170" s="25"/>
      <c r="S170" s="26">
        <v>10</v>
      </c>
      <c r="T170" s="114"/>
      <c r="U170" s="114"/>
      <c r="V170" s="23" t="s">
        <v>470</v>
      </c>
      <c r="W170" s="75" t="s">
        <v>640</v>
      </c>
      <c r="X170" s="75" t="s">
        <v>641</v>
      </c>
      <c r="Y170" s="75">
        <v>13.21</v>
      </c>
      <c r="Z170" s="109" t="s">
        <v>204</v>
      </c>
      <c r="AA170" s="109"/>
      <c r="AB170" s="90" t="s">
        <v>475</v>
      </c>
    </row>
    <row r="171" spans="1:28" ht="15.75" customHeight="1">
      <c r="A171" s="85">
        <v>168</v>
      </c>
      <c r="B171" s="85" t="s">
        <v>401</v>
      </c>
      <c r="C171" s="106" t="s">
        <v>402</v>
      </c>
      <c r="D171" s="81"/>
      <c r="E171" s="117" t="s">
        <v>511</v>
      </c>
      <c r="F171" s="64" t="s">
        <v>579</v>
      </c>
      <c r="G171" s="116" t="s">
        <v>49</v>
      </c>
      <c r="H171" s="64">
        <v>16</v>
      </c>
      <c r="I171" s="64" t="s">
        <v>372</v>
      </c>
      <c r="J171" s="111" t="s">
        <v>51</v>
      </c>
      <c r="K171" s="65">
        <v>46144</v>
      </c>
      <c r="L171" s="64">
        <v>10</v>
      </c>
      <c r="M171" s="64" t="s">
        <v>60</v>
      </c>
      <c r="N171" s="64"/>
      <c r="O171" s="101">
        <v>10</v>
      </c>
      <c r="P171" s="114" t="s">
        <v>323</v>
      </c>
      <c r="Q171" s="21" t="str">
        <f ca="1">IFERROR(__xludf.DUMMYFUNCTION("IF(P171="""","""",IF(REGEXMATCH(UPPER(P171),""CITRATE""),""Citrate"",IF(REGEXMATCH(UPPER(P171),""ACETATE""),""Sodium Acetate"",IF(REGEXMATCH(UPPER(P171),""PBS""),""PBS"",IF(REGEXMATCH(UPPER(P171),""TRIS""),""Tris"",IF(REGEXMATCH(UPPER(P171),""HEPES""),""H"&amp;"EPES"",IF(REGEXMATCH(UPPER(P171),""HISTIDINE""),""Histidine"",IF(REGEXMATCH(UPPER(P171),""SUCCINATE""),""Succinate"",IF(REGEXMATCH(UPPER(P171),""GLYCINE""),""Glycine"",P171)))))))))"),"Citrate")</f>
        <v>Citrate</v>
      </c>
      <c r="R171" s="25"/>
      <c r="S171" s="26">
        <v>10</v>
      </c>
      <c r="T171" s="114"/>
      <c r="U171" s="114"/>
      <c r="V171" s="23" t="s">
        <v>470</v>
      </c>
      <c r="W171" s="75" t="s">
        <v>642</v>
      </c>
      <c r="X171" s="75" t="s">
        <v>312</v>
      </c>
      <c r="Y171" s="75" t="s">
        <v>643</v>
      </c>
      <c r="Z171" s="109" t="s">
        <v>644</v>
      </c>
      <c r="AA171" s="109"/>
      <c r="AB171" s="90" t="s">
        <v>475</v>
      </c>
    </row>
    <row r="172" spans="1:28" ht="15.75" customHeight="1">
      <c r="A172" s="85">
        <v>169</v>
      </c>
      <c r="B172" s="85" t="s">
        <v>401</v>
      </c>
      <c r="C172" s="106" t="s">
        <v>402</v>
      </c>
      <c r="D172" s="81"/>
      <c r="E172" s="117" t="s">
        <v>411</v>
      </c>
      <c r="F172" s="64" t="s">
        <v>579</v>
      </c>
      <c r="G172" s="116" t="s">
        <v>49</v>
      </c>
      <c r="H172" s="64">
        <v>16</v>
      </c>
      <c r="I172" s="64" t="s">
        <v>372</v>
      </c>
      <c r="J172" s="111" t="s">
        <v>51</v>
      </c>
      <c r="K172" s="65">
        <v>46144</v>
      </c>
      <c r="L172" s="64">
        <v>10</v>
      </c>
      <c r="M172" s="64" t="s">
        <v>60</v>
      </c>
      <c r="N172" s="64"/>
      <c r="O172" s="101">
        <v>10</v>
      </c>
      <c r="P172" s="114" t="s">
        <v>323</v>
      </c>
      <c r="Q172" s="21" t="str">
        <f ca="1">IFERROR(__xludf.DUMMYFUNCTION("IF(P172="""","""",IF(REGEXMATCH(UPPER(P172),""CITRATE""),""Citrate"",IF(REGEXMATCH(UPPER(P172),""ACETATE""),""Sodium Acetate"",IF(REGEXMATCH(UPPER(P172),""PBS""),""PBS"",IF(REGEXMATCH(UPPER(P172),""TRIS""),""Tris"",IF(REGEXMATCH(UPPER(P172),""HEPES""),""H"&amp;"EPES"",IF(REGEXMATCH(UPPER(P172),""HISTIDINE""),""Histidine"",IF(REGEXMATCH(UPPER(P172),""SUCCINATE""),""Succinate"",IF(REGEXMATCH(UPPER(P172),""GLYCINE""),""Glycine"",P172)))))))))"),"Citrate")</f>
        <v>Citrate</v>
      </c>
      <c r="R172" s="25"/>
      <c r="S172" s="26">
        <v>10</v>
      </c>
      <c r="T172" s="114"/>
      <c r="U172" s="114"/>
      <c r="V172" s="23" t="s">
        <v>470</v>
      </c>
      <c r="W172" s="75" t="s">
        <v>503</v>
      </c>
      <c r="X172" s="75" t="s">
        <v>645</v>
      </c>
      <c r="Y172" s="75" t="s">
        <v>646</v>
      </c>
      <c r="Z172" s="109" t="s">
        <v>647</v>
      </c>
      <c r="AA172" s="109"/>
      <c r="AB172" s="90" t="s">
        <v>475</v>
      </c>
    </row>
    <row r="173" spans="1:28" ht="15.75" customHeight="1">
      <c r="A173" s="85">
        <v>170</v>
      </c>
      <c r="B173" s="85" t="s">
        <v>401</v>
      </c>
      <c r="C173" s="106" t="s">
        <v>402</v>
      </c>
      <c r="D173" s="81"/>
      <c r="E173" s="117" t="s">
        <v>538</v>
      </c>
      <c r="F173" s="64" t="s">
        <v>579</v>
      </c>
      <c r="G173" s="116" t="s">
        <v>49</v>
      </c>
      <c r="H173" s="64">
        <v>16</v>
      </c>
      <c r="I173" s="64" t="s">
        <v>372</v>
      </c>
      <c r="J173" s="111" t="s">
        <v>51</v>
      </c>
      <c r="K173" s="65">
        <v>46144</v>
      </c>
      <c r="L173" s="64">
        <v>10</v>
      </c>
      <c r="M173" s="64" t="s">
        <v>60</v>
      </c>
      <c r="N173" s="64"/>
      <c r="O173" s="101">
        <v>10</v>
      </c>
      <c r="P173" s="114" t="s">
        <v>323</v>
      </c>
      <c r="Q173" s="21" t="str">
        <f ca="1">IFERROR(__xludf.DUMMYFUNCTION("IF(P173="""","""",IF(REGEXMATCH(UPPER(P173),""CITRATE""),""Citrate"",IF(REGEXMATCH(UPPER(P173),""ACETATE""),""Sodium Acetate"",IF(REGEXMATCH(UPPER(P173),""PBS""),""PBS"",IF(REGEXMATCH(UPPER(P173),""TRIS""),""Tris"",IF(REGEXMATCH(UPPER(P173),""HEPES""),""H"&amp;"EPES"",IF(REGEXMATCH(UPPER(P173),""HISTIDINE""),""Histidine"",IF(REGEXMATCH(UPPER(P173),""SUCCINATE""),""Succinate"",IF(REGEXMATCH(UPPER(P173),""GLYCINE""),""Glycine"",P173)))))))))"),"Citrate")</f>
        <v>Citrate</v>
      </c>
      <c r="R173" s="25"/>
      <c r="S173" s="26">
        <v>10</v>
      </c>
      <c r="T173" s="114"/>
      <c r="U173" s="114"/>
      <c r="V173" s="23" t="s">
        <v>470</v>
      </c>
      <c r="W173" s="75" t="s">
        <v>648</v>
      </c>
      <c r="X173" s="75" t="s">
        <v>649</v>
      </c>
      <c r="Y173" s="75" t="s">
        <v>650</v>
      </c>
      <c r="Z173" s="109" t="s">
        <v>651</v>
      </c>
      <c r="AA173" s="109"/>
      <c r="AB173" s="90" t="s">
        <v>475</v>
      </c>
    </row>
    <row r="174" spans="1:28" ht="15.75" customHeight="1">
      <c r="A174" s="85">
        <v>171</v>
      </c>
      <c r="B174" s="85" t="s">
        <v>401</v>
      </c>
      <c r="C174" s="106" t="s">
        <v>402</v>
      </c>
      <c r="D174" s="81"/>
      <c r="E174" s="117" t="s">
        <v>542</v>
      </c>
      <c r="F174" s="64" t="s">
        <v>579</v>
      </c>
      <c r="G174" s="116" t="s">
        <v>49</v>
      </c>
      <c r="H174" s="64">
        <v>16</v>
      </c>
      <c r="I174" s="64" t="s">
        <v>372</v>
      </c>
      <c r="J174" s="111" t="s">
        <v>51</v>
      </c>
      <c r="K174" s="65">
        <v>46144</v>
      </c>
      <c r="L174" s="64">
        <v>10</v>
      </c>
      <c r="M174" s="64" t="s">
        <v>60</v>
      </c>
      <c r="N174" s="64"/>
      <c r="O174" s="101">
        <v>10</v>
      </c>
      <c r="P174" s="114" t="s">
        <v>323</v>
      </c>
      <c r="Q174" s="21" t="str">
        <f ca="1">IFERROR(__xludf.DUMMYFUNCTION("IF(P174="""","""",IF(REGEXMATCH(UPPER(P174),""CITRATE""),""Citrate"",IF(REGEXMATCH(UPPER(P174),""ACETATE""),""Sodium Acetate"",IF(REGEXMATCH(UPPER(P174),""PBS""),""PBS"",IF(REGEXMATCH(UPPER(P174),""TRIS""),""Tris"",IF(REGEXMATCH(UPPER(P174),""HEPES""),""H"&amp;"EPES"",IF(REGEXMATCH(UPPER(P174),""HISTIDINE""),""Histidine"",IF(REGEXMATCH(UPPER(P174),""SUCCINATE""),""Succinate"",IF(REGEXMATCH(UPPER(P174),""GLYCINE""),""Glycine"",P174)))))))))"),"Citrate")</f>
        <v>Citrate</v>
      </c>
      <c r="R174" s="25"/>
      <c r="S174" s="26">
        <v>10</v>
      </c>
      <c r="T174" s="114"/>
      <c r="U174" s="114"/>
      <c r="V174" s="23" t="s">
        <v>470</v>
      </c>
      <c r="W174" s="75" t="s">
        <v>652</v>
      </c>
      <c r="X174" s="75" t="s">
        <v>478</v>
      </c>
      <c r="Y174" s="75" t="s">
        <v>653</v>
      </c>
      <c r="Z174" s="109" t="s">
        <v>559</v>
      </c>
      <c r="AA174" s="109"/>
      <c r="AB174" s="90" t="s">
        <v>475</v>
      </c>
    </row>
    <row r="175" spans="1:28" ht="15.75" customHeight="1">
      <c r="A175" s="85">
        <v>172</v>
      </c>
      <c r="B175" s="85" t="s">
        <v>401</v>
      </c>
      <c r="C175" s="106" t="s">
        <v>402</v>
      </c>
      <c r="D175" s="81"/>
      <c r="E175" s="117" t="s">
        <v>547</v>
      </c>
      <c r="F175" s="64" t="s">
        <v>579</v>
      </c>
      <c r="G175" s="116" t="s">
        <v>49</v>
      </c>
      <c r="H175" s="64">
        <v>16</v>
      </c>
      <c r="I175" s="64" t="s">
        <v>372</v>
      </c>
      <c r="J175" s="111" t="s">
        <v>51</v>
      </c>
      <c r="K175" s="65">
        <v>46144</v>
      </c>
      <c r="L175" s="64">
        <v>10</v>
      </c>
      <c r="M175" s="64" t="s">
        <v>60</v>
      </c>
      <c r="N175" s="64"/>
      <c r="O175" s="101">
        <v>10</v>
      </c>
      <c r="P175" s="114" t="s">
        <v>323</v>
      </c>
      <c r="Q175" s="21" t="str">
        <f ca="1">IFERROR(__xludf.DUMMYFUNCTION("IF(P175="""","""",IF(REGEXMATCH(UPPER(P175),""CITRATE""),""Citrate"",IF(REGEXMATCH(UPPER(P175),""ACETATE""),""Sodium Acetate"",IF(REGEXMATCH(UPPER(P175),""PBS""),""PBS"",IF(REGEXMATCH(UPPER(P175),""TRIS""),""Tris"",IF(REGEXMATCH(UPPER(P175),""HEPES""),""H"&amp;"EPES"",IF(REGEXMATCH(UPPER(P175),""HISTIDINE""),""Histidine"",IF(REGEXMATCH(UPPER(P175),""SUCCINATE""),""Succinate"",IF(REGEXMATCH(UPPER(P175),""GLYCINE""),""Glycine"",P175)))))))))"),"Citrate")</f>
        <v>Citrate</v>
      </c>
      <c r="R175" s="25"/>
      <c r="S175" s="26">
        <v>10</v>
      </c>
      <c r="T175" s="114"/>
      <c r="U175" s="114"/>
      <c r="V175" s="23" t="s">
        <v>470</v>
      </c>
      <c r="W175" s="75" t="s">
        <v>654</v>
      </c>
      <c r="X175" s="75" t="s">
        <v>655</v>
      </c>
      <c r="Y175" s="75" t="s">
        <v>656</v>
      </c>
      <c r="Z175" s="109" t="s">
        <v>420</v>
      </c>
      <c r="AA175" s="109"/>
      <c r="AB175" s="90" t="s">
        <v>475</v>
      </c>
    </row>
    <row r="176" spans="1:28" ht="15.75" customHeight="1">
      <c r="A176" s="85">
        <v>173</v>
      </c>
      <c r="B176" s="85" t="s">
        <v>401</v>
      </c>
      <c r="C176" s="106" t="s">
        <v>402</v>
      </c>
      <c r="D176" s="81"/>
      <c r="E176" s="117" t="s">
        <v>569</v>
      </c>
      <c r="F176" s="64" t="s">
        <v>579</v>
      </c>
      <c r="G176" s="116" t="s">
        <v>49</v>
      </c>
      <c r="H176" s="64">
        <v>16</v>
      </c>
      <c r="I176" s="64" t="s">
        <v>372</v>
      </c>
      <c r="J176" s="111" t="s">
        <v>51</v>
      </c>
      <c r="K176" s="65">
        <v>46144</v>
      </c>
      <c r="L176" s="64">
        <v>10</v>
      </c>
      <c r="M176" s="64" t="s">
        <v>60</v>
      </c>
      <c r="N176" s="64"/>
      <c r="O176" s="101">
        <v>10</v>
      </c>
      <c r="P176" s="114" t="s">
        <v>323</v>
      </c>
      <c r="Q176" s="21" t="str">
        <f ca="1">IFERROR(__xludf.DUMMYFUNCTION("IF(P176="""","""",IF(REGEXMATCH(UPPER(P176),""CITRATE""),""Citrate"",IF(REGEXMATCH(UPPER(P176),""ACETATE""),""Sodium Acetate"",IF(REGEXMATCH(UPPER(P176),""PBS""),""PBS"",IF(REGEXMATCH(UPPER(P176),""TRIS""),""Tris"",IF(REGEXMATCH(UPPER(P176),""HEPES""),""H"&amp;"EPES"",IF(REGEXMATCH(UPPER(P176),""HISTIDINE""),""Histidine"",IF(REGEXMATCH(UPPER(P176),""SUCCINATE""),""Succinate"",IF(REGEXMATCH(UPPER(P176),""GLYCINE""),""Glycine"",P176)))))))))"),"Citrate")</f>
        <v>Citrate</v>
      </c>
      <c r="R176" s="25"/>
      <c r="S176" s="26">
        <v>10</v>
      </c>
      <c r="T176" s="114"/>
      <c r="U176" s="114"/>
      <c r="V176" s="23" t="s">
        <v>470</v>
      </c>
      <c r="W176" s="75" t="s">
        <v>657</v>
      </c>
      <c r="X176" s="75" t="s">
        <v>658</v>
      </c>
      <c r="Y176" s="75" t="s">
        <v>659</v>
      </c>
      <c r="Z176" s="109" t="s">
        <v>660</v>
      </c>
      <c r="AA176" s="109"/>
      <c r="AB176" s="90" t="s">
        <v>475</v>
      </c>
    </row>
    <row r="177" spans="1:28" ht="15.75" customHeight="1">
      <c r="A177" s="85">
        <v>174</v>
      </c>
      <c r="B177" s="85" t="s">
        <v>401</v>
      </c>
      <c r="C177" s="106" t="s">
        <v>402</v>
      </c>
      <c r="D177" s="81"/>
      <c r="E177" s="117" t="s">
        <v>574</v>
      </c>
      <c r="F177" s="64" t="s">
        <v>579</v>
      </c>
      <c r="G177" s="116" t="s">
        <v>49</v>
      </c>
      <c r="H177" s="64">
        <v>16</v>
      </c>
      <c r="I177" s="64" t="s">
        <v>372</v>
      </c>
      <c r="J177" s="111" t="s">
        <v>51</v>
      </c>
      <c r="K177" s="65">
        <v>46144</v>
      </c>
      <c r="L177" s="64">
        <v>10</v>
      </c>
      <c r="M177" s="64" t="s">
        <v>60</v>
      </c>
      <c r="N177" s="64"/>
      <c r="O177" s="101">
        <v>10</v>
      </c>
      <c r="P177" s="114" t="s">
        <v>323</v>
      </c>
      <c r="Q177" s="21" t="str">
        <f ca="1">IFERROR(__xludf.DUMMYFUNCTION("IF(P177="""","""",IF(REGEXMATCH(UPPER(P177),""CITRATE""),""Citrate"",IF(REGEXMATCH(UPPER(P177),""ACETATE""),""Sodium Acetate"",IF(REGEXMATCH(UPPER(P177),""PBS""),""PBS"",IF(REGEXMATCH(UPPER(P177),""TRIS""),""Tris"",IF(REGEXMATCH(UPPER(P177),""HEPES""),""H"&amp;"EPES"",IF(REGEXMATCH(UPPER(P177),""HISTIDINE""),""Histidine"",IF(REGEXMATCH(UPPER(P177),""SUCCINATE""),""Succinate"",IF(REGEXMATCH(UPPER(P177),""GLYCINE""),""Glycine"",P177)))))))))"),"Citrate")</f>
        <v>Citrate</v>
      </c>
      <c r="R177" s="25"/>
      <c r="S177" s="26">
        <v>10</v>
      </c>
      <c r="T177" s="114"/>
      <c r="U177" s="114"/>
      <c r="V177" s="23" t="s">
        <v>470</v>
      </c>
      <c r="W177" s="75" t="s">
        <v>661</v>
      </c>
      <c r="X177" s="75" t="s">
        <v>662</v>
      </c>
      <c r="Y177" s="75" t="s">
        <v>663</v>
      </c>
      <c r="Z177" s="109" t="s">
        <v>664</v>
      </c>
      <c r="AA177" s="109"/>
      <c r="AB177" s="90" t="s">
        <v>475</v>
      </c>
    </row>
    <row r="178" spans="1:28" ht="15.75" customHeight="1">
      <c r="A178" s="85">
        <v>175</v>
      </c>
      <c r="B178" s="85" t="s">
        <v>401</v>
      </c>
      <c r="C178" s="106" t="s">
        <v>402</v>
      </c>
      <c r="D178" s="81"/>
      <c r="E178" s="117" t="s">
        <v>469</v>
      </c>
      <c r="F178" s="64">
        <v>35</v>
      </c>
      <c r="G178" s="116" t="s">
        <v>49</v>
      </c>
      <c r="H178" s="64">
        <v>24</v>
      </c>
      <c r="I178" s="64" t="s">
        <v>372</v>
      </c>
      <c r="J178" s="111" t="s">
        <v>51</v>
      </c>
      <c r="K178" s="65">
        <v>46144</v>
      </c>
      <c r="L178" s="64">
        <v>10</v>
      </c>
      <c r="M178" s="64" t="s">
        <v>60</v>
      </c>
      <c r="N178" s="64"/>
      <c r="O178" s="101">
        <v>10</v>
      </c>
      <c r="P178" s="114" t="s">
        <v>323</v>
      </c>
      <c r="Q178" s="21" t="str">
        <f ca="1">IFERROR(__xludf.DUMMYFUNCTION("IF(P178="""","""",IF(REGEXMATCH(UPPER(P178),""CITRATE""),""Citrate"",IF(REGEXMATCH(UPPER(P178),""ACETATE""),""Sodium Acetate"",IF(REGEXMATCH(UPPER(P178),""PBS""),""PBS"",IF(REGEXMATCH(UPPER(P178),""TRIS""),""Tris"",IF(REGEXMATCH(UPPER(P178),""HEPES""),""H"&amp;"EPES"",IF(REGEXMATCH(UPPER(P178),""HISTIDINE""),""Histidine"",IF(REGEXMATCH(UPPER(P178),""SUCCINATE""),""Succinate"",IF(REGEXMATCH(UPPER(P178),""GLYCINE""),""Glycine"",P178)))))))))"),"Citrate")</f>
        <v>Citrate</v>
      </c>
      <c r="R178" s="25"/>
      <c r="S178" s="26">
        <v>10</v>
      </c>
      <c r="T178" s="114"/>
      <c r="U178" s="114"/>
      <c r="V178" s="23" t="s">
        <v>470</v>
      </c>
      <c r="W178" s="75" t="s">
        <v>665</v>
      </c>
      <c r="X178" s="75" t="s">
        <v>666</v>
      </c>
      <c r="Y178" s="75">
        <v>5.0999999999999996</v>
      </c>
      <c r="Z178" s="109" t="s">
        <v>667</v>
      </c>
      <c r="AA178" s="109"/>
      <c r="AB178" s="90" t="s">
        <v>475</v>
      </c>
    </row>
    <row r="179" spans="1:28" ht="15.75" customHeight="1">
      <c r="A179" s="85">
        <v>176</v>
      </c>
      <c r="B179" s="85" t="s">
        <v>401</v>
      </c>
      <c r="C179" s="106" t="s">
        <v>402</v>
      </c>
      <c r="D179" s="81"/>
      <c r="E179" s="117" t="s">
        <v>476</v>
      </c>
      <c r="F179" s="64">
        <v>35</v>
      </c>
      <c r="G179" s="116" t="s">
        <v>49</v>
      </c>
      <c r="H179" s="64">
        <v>24</v>
      </c>
      <c r="I179" s="64" t="s">
        <v>372</v>
      </c>
      <c r="J179" s="111" t="s">
        <v>51</v>
      </c>
      <c r="K179" s="65">
        <v>46144</v>
      </c>
      <c r="L179" s="64">
        <v>10</v>
      </c>
      <c r="M179" s="64" t="s">
        <v>60</v>
      </c>
      <c r="N179" s="64"/>
      <c r="O179" s="101">
        <v>10</v>
      </c>
      <c r="P179" s="114" t="s">
        <v>323</v>
      </c>
      <c r="Q179" s="21" t="str">
        <f ca="1">IFERROR(__xludf.DUMMYFUNCTION("IF(P179="""","""",IF(REGEXMATCH(UPPER(P179),""CITRATE""),""Citrate"",IF(REGEXMATCH(UPPER(P179),""ACETATE""),""Sodium Acetate"",IF(REGEXMATCH(UPPER(P179),""PBS""),""PBS"",IF(REGEXMATCH(UPPER(P179),""TRIS""),""Tris"",IF(REGEXMATCH(UPPER(P179),""HEPES""),""H"&amp;"EPES"",IF(REGEXMATCH(UPPER(P179),""HISTIDINE""),""Histidine"",IF(REGEXMATCH(UPPER(P179),""SUCCINATE""),""Succinate"",IF(REGEXMATCH(UPPER(P179),""GLYCINE""),""Glycine"",P179)))))))))"),"Citrate")</f>
        <v>Citrate</v>
      </c>
      <c r="R179" s="25"/>
      <c r="S179" s="26">
        <v>10</v>
      </c>
      <c r="T179" s="114"/>
      <c r="U179" s="114"/>
      <c r="V179" s="23" t="s">
        <v>470</v>
      </c>
      <c r="W179" s="75" t="s">
        <v>668</v>
      </c>
      <c r="X179" s="75" t="s">
        <v>669</v>
      </c>
      <c r="Y179" s="75" t="s">
        <v>670</v>
      </c>
      <c r="Z179" s="109" t="s">
        <v>671</v>
      </c>
      <c r="AA179" s="109"/>
      <c r="AB179" s="90" t="s">
        <v>475</v>
      </c>
    </row>
    <row r="180" spans="1:28" ht="15.75" customHeight="1">
      <c r="A180" s="85">
        <v>177</v>
      </c>
      <c r="B180" s="85" t="s">
        <v>401</v>
      </c>
      <c r="C180" s="106" t="s">
        <v>402</v>
      </c>
      <c r="D180" s="81"/>
      <c r="E180" s="117" t="s">
        <v>499</v>
      </c>
      <c r="F180" s="64">
        <v>35</v>
      </c>
      <c r="G180" s="116" t="s">
        <v>49</v>
      </c>
      <c r="H180" s="64">
        <v>24</v>
      </c>
      <c r="I180" s="64" t="s">
        <v>372</v>
      </c>
      <c r="J180" s="111" t="s">
        <v>51</v>
      </c>
      <c r="K180" s="65">
        <v>46144</v>
      </c>
      <c r="L180" s="64">
        <v>10</v>
      </c>
      <c r="M180" s="64" t="s">
        <v>60</v>
      </c>
      <c r="N180" s="64"/>
      <c r="O180" s="101">
        <v>10</v>
      </c>
      <c r="P180" s="114" t="s">
        <v>323</v>
      </c>
      <c r="Q180" s="21" t="str">
        <f ca="1">IFERROR(__xludf.DUMMYFUNCTION("IF(P180="""","""",IF(REGEXMATCH(UPPER(P180),""CITRATE""),""Citrate"",IF(REGEXMATCH(UPPER(P180),""ACETATE""),""Sodium Acetate"",IF(REGEXMATCH(UPPER(P180),""PBS""),""PBS"",IF(REGEXMATCH(UPPER(P180),""TRIS""),""Tris"",IF(REGEXMATCH(UPPER(P180),""HEPES""),""H"&amp;"EPES"",IF(REGEXMATCH(UPPER(P180),""HISTIDINE""),""Histidine"",IF(REGEXMATCH(UPPER(P180),""SUCCINATE""),""Succinate"",IF(REGEXMATCH(UPPER(P180),""GLYCINE""),""Glycine"",P180)))))))))"),"Citrate")</f>
        <v>Citrate</v>
      </c>
      <c r="R180" s="25"/>
      <c r="S180" s="26">
        <v>10</v>
      </c>
      <c r="T180" s="114"/>
      <c r="U180" s="114"/>
      <c r="V180" s="23" t="s">
        <v>470</v>
      </c>
      <c r="W180" s="75" t="s">
        <v>672</v>
      </c>
      <c r="X180" s="75" t="s">
        <v>673</v>
      </c>
      <c r="Y180" s="75" t="s">
        <v>674</v>
      </c>
      <c r="Z180" s="109" t="s">
        <v>675</v>
      </c>
      <c r="AA180" s="109"/>
      <c r="AB180" s="90" t="s">
        <v>475</v>
      </c>
    </row>
    <row r="181" spans="1:28" ht="15.75" customHeight="1">
      <c r="A181" s="85">
        <v>178</v>
      </c>
      <c r="B181" s="85" t="s">
        <v>401</v>
      </c>
      <c r="C181" s="106" t="s">
        <v>402</v>
      </c>
      <c r="D181" s="81"/>
      <c r="E181" s="117" t="s">
        <v>502</v>
      </c>
      <c r="F181" s="64">
        <v>35</v>
      </c>
      <c r="G181" s="116" t="s">
        <v>49</v>
      </c>
      <c r="H181" s="64">
        <v>24</v>
      </c>
      <c r="I181" s="64" t="s">
        <v>372</v>
      </c>
      <c r="J181" s="111" t="s">
        <v>51</v>
      </c>
      <c r="K181" s="65">
        <v>46144</v>
      </c>
      <c r="L181" s="64">
        <v>10</v>
      </c>
      <c r="M181" s="64" t="s">
        <v>60</v>
      </c>
      <c r="N181" s="64"/>
      <c r="O181" s="101">
        <v>10</v>
      </c>
      <c r="P181" s="114" t="s">
        <v>323</v>
      </c>
      <c r="Q181" s="21" t="str">
        <f ca="1">IFERROR(__xludf.DUMMYFUNCTION("IF(P181="""","""",IF(REGEXMATCH(UPPER(P181),""CITRATE""),""Citrate"",IF(REGEXMATCH(UPPER(P181),""ACETATE""),""Sodium Acetate"",IF(REGEXMATCH(UPPER(P181),""PBS""),""PBS"",IF(REGEXMATCH(UPPER(P181),""TRIS""),""Tris"",IF(REGEXMATCH(UPPER(P181),""HEPES""),""H"&amp;"EPES"",IF(REGEXMATCH(UPPER(P181),""HISTIDINE""),""Histidine"",IF(REGEXMATCH(UPPER(P181),""SUCCINATE""),""Succinate"",IF(REGEXMATCH(UPPER(P181),""GLYCINE""),""Glycine"",P181)))))))))"),"Citrate")</f>
        <v>Citrate</v>
      </c>
      <c r="R181" s="25"/>
      <c r="S181" s="26">
        <v>10</v>
      </c>
      <c r="T181" s="114"/>
      <c r="U181" s="114"/>
      <c r="V181" s="23" t="s">
        <v>470</v>
      </c>
      <c r="W181" s="75" t="s">
        <v>672</v>
      </c>
      <c r="X181" s="75" t="s">
        <v>483</v>
      </c>
      <c r="Y181" s="75" t="s">
        <v>676</v>
      </c>
      <c r="Z181" s="109" t="s">
        <v>167</v>
      </c>
      <c r="AA181" s="109"/>
      <c r="AB181" s="90" t="s">
        <v>475</v>
      </c>
    </row>
    <row r="182" spans="1:28" ht="15.75" customHeight="1">
      <c r="A182" s="85">
        <v>179</v>
      </c>
      <c r="B182" s="85" t="s">
        <v>401</v>
      </c>
      <c r="C182" s="106" t="s">
        <v>402</v>
      </c>
      <c r="D182" s="81"/>
      <c r="E182" s="117" t="s">
        <v>507</v>
      </c>
      <c r="F182" s="64">
        <v>35</v>
      </c>
      <c r="G182" s="116" t="s">
        <v>49</v>
      </c>
      <c r="H182" s="64">
        <v>24</v>
      </c>
      <c r="I182" s="64" t="s">
        <v>372</v>
      </c>
      <c r="J182" s="111" t="s">
        <v>51</v>
      </c>
      <c r="K182" s="65">
        <v>46144</v>
      </c>
      <c r="L182" s="64">
        <v>10</v>
      </c>
      <c r="M182" s="64" t="s">
        <v>60</v>
      </c>
      <c r="N182" s="64"/>
      <c r="O182" s="101">
        <v>10</v>
      </c>
      <c r="P182" s="114" t="s">
        <v>323</v>
      </c>
      <c r="Q182" s="21" t="str">
        <f ca="1">IFERROR(__xludf.DUMMYFUNCTION("IF(P182="""","""",IF(REGEXMATCH(UPPER(P182),""CITRATE""),""Citrate"",IF(REGEXMATCH(UPPER(P182),""ACETATE""),""Sodium Acetate"",IF(REGEXMATCH(UPPER(P182),""PBS""),""PBS"",IF(REGEXMATCH(UPPER(P182),""TRIS""),""Tris"",IF(REGEXMATCH(UPPER(P182),""HEPES""),""H"&amp;"EPES"",IF(REGEXMATCH(UPPER(P182),""HISTIDINE""),""Histidine"",IF(REGEXMATCH(UPPER(P182),""SUCCINATE""),""Succinate"",IF(REGEXMATCH(UPPER(P182),""GLYCINE""),""Glycine"",P182)))))))))"),"Citrate")</f>
        <v>Citrate</v>
      </c>
      <c r="R182" s="25"/>
      <c r="S182" s="26">
        <v>10</v>
      </c>
      <c r="T182" s="114"/>
      <c r="U182" s="114"/>
      <c r="V182" s="23" t="s">
        <v>470</v>
      </c>
      <c r="W182" s="75" t="s">
        <v>677</v>
      </c>
      <c r="X182" s="75" t="s">
        <v>678</v>
      </c>
      <c r="Y182" s="75" t="s">
        <v>679</v>
      </c>
      <c r="Z182" s="109" t="s">
        <v>680</v>
      </c>
      <c r="AA182" s="109"/>
      <c r="AB182" s="90" t="s">
        <v>475</v>
      </c>
    </row>
    <row r="183" spans="1:28" ht="15.75" customHeight="1">
      <c r="A183" s="85">
        <v>180</v>
      </c>
      <c r="B183" s="85" t="s">
        <v>401</v>
      </c>
      <c r="C183" s="106" t="s">
        <v>402</v>
      </c>
      <c r="D183" s="81"/>
      <c r="E183" s="117" t="s">
        <v>511</v>
      </c>
      <c r="F183" s="64">
        <v>35</v>
      </c>
      <c r="G183" s="116" t="s">
        <v>49</v>
      </c>
      <c r="H183" s="64">
        <v>24</v>
      </c>
      <c r="I183" s="64" t="s">
        <v>372</v>
      </c>
      <c r="J183" s="111" t="s">
        <v>51</v>
      </c>
      <c r="K183" s="65">
        <v>46144</v>
      </c>
      <c r="L183" s="64">
        <v>10</v>
      </c>
      <c r="M183" s="64" t="s">
        <v>60</v>
      </c>
      <c r="N183" s="64"/>
      <c r="O183" s="101">
        <v>10</v>
      </c>
      <c r="P183" s="114" t="s">
        <v>323</v>
      </c>
      <c r="Q183" s="21" t="str">
        <f ca="1">IFERROR(__xludf.DUMMYFUNCTION("IF(P183="""","""",IF(REGEXMATCH(UPPER(P183),""CITRATE""),""Citrate"",IF(REGEXMATCH(UPPER(P183),""ACETATE""),""Sodium Acetate"",IF(REGEXMATCH(UPPER(P183),""PBS""),""PBS"",IF(REGEXMATCH(UPPER(P183),""TRIS""),""Tris"",IF(REGEXMATCH(UPPER(P183),""HEPES""),""H"&amp;"EPES"",IF(REGEXMATCH(UPPER(P183),""HISTIDINE""),""Histidine"",IF(REGEXMATCH(UPPER(P183),""SUCCINATE""),""Succinate"",IF(REGEXMATCH(UPPER(P183),""GLYCINE""),""Glycine"",P183)))))))))"),"Citrate")</f>
        <v>Citrate</v>
      </c>
      <c r="R183" s="25"/>
      <c r="S183" s="26">
        <v>10</v>
      </c>
      <c r="T183" s="114"/>
      <c r="U183" s="114"/>
      <c r="V183" s="23" t="s">
        <v>470</v>
      </c>
      <c r="W183" s="75" t="s">
        <v>681</v>
      </c>
      <c r="X183" s="75" t="s">
        <v>472</v>
      </c>
      <c r="Y183" s="75" t="s">
        <v>682</v>
      </c>
      <c r="Z183" s="109" t="s">
        <v>683</v>
      </c>
      <c r="AA183" s="109"/>
      <c r="AB183" s="90" t="s">
        <v>475</v>
      </c>
    </row>
    <row r="184" spans="1:28" ht="15.75" customHeight="1">
      <c r="A184" s="85">
        <v>181</v>
      </c>
      <c r="B184" s="85" t="s">
        <v>401</v>
      </c>
      <c r="C184" s="106" t="s">
        <v>402</v>
      </c>
      <c r="D184" s="81"/>
      <c r="E184" s="117" t="s">
        <v>411</v>
      </c>
      <c r="F184" s="64">
        <v>35</v>
      </c>
      <c r="G184" s="116" t="s">
        <v>49</v>
      </c>
      <c r="H184" s="64">
        <v>24</v>
      </c>
      <c r="I184" s="64" t="s">
        <v>372</v>
      </c>
      <c r="J184" s="111" t="s">
        <v>51</v>
      </c>
      <c r="K184" s="65">
        <v>46144</v>
      </c>
      <c r="L184" s="64">
        <v>10</v>
      </c>
      <c r="M184" s="64" t="s">
        <v>60</v>
      </c>
      <c r="N184" s="64"/>
      <c r="O184" s="101">
        <v>10</v>
      </c>
      <c r="P184" s="114" t="s">
        <v>323</v>
      </c>
      <c r="Q184" s="21" t="str">
        <f ca="1">IFERROR(__xludf.DUMMYFUNCTION("IF(P184="""","""",IF(REGEXMATCH(UPPER(P184),""CITRATE""),""Citrate"",IF(REGEXMATCH(UPPER(P184),""ACETATE""),""Sodium Acetate"",IF(REGEXMATCH(UPPER(P184),""PBS""),""PBS"",IF(REGEXMATCH(UPPER(P184),""TRIS""),""Tris"",IF(REGEXMATCH(UPPER(P184),""HEPES""),""H"&amp;"EPES"",IF(REGEXMATCH(UPPER(P184),""HISTIDINE""),""Histidine"",IF(REGEXMATCH(UPPER(P184),""SUCCINATE""),""Succinate"",IF(REGEXMATCH(UPPER(P184),""GLYCINE""),""Glycine"",P184)))))))))"),"Citrate")</f>
        <v>Citrate</v>
      </c>
      <c r="R184" s="25"/>
      <c r="S184" s="26">
        <v>10</v>
      </c>
      <c r="T184" s="114"/>
      <c r="U184" s="114"/>
      <c r="V184" s="23" t="s">
        <v>470</v>
      </c>
      <c r="W184" s="75" t="s">
        <v>684</v>
      </c>
      <c r="X184" s="75" t="s">
        <v>685</v>
      </c>
      <c r="Y184" s="75" t="s">
        <v>686</v>
      </c>
      <c r="Z184" s="109" t="s">
        <v>631</v>
      </c>
      <c r="AA184" s="109"/>
      <c r="AB184" s="90" t="s">
        <v>475</v>
      </c>
    </row>
    <row r="185" spans="1:28" ht="15.75" customHeight="1">
      <c r="A185" s="85">
        <v>182</v>
      </c>
      <c r="B185" s="85" t="s">
        <v>401</v>
      </c>
      <c r="C185" s="106" t="s">
        <v>402</v>
      </c>
      <c r="D185" s="81"/>
      <c r="E185" s="117" t="s">
        <v>538</v>
      </c>
      <c r="F185" s="64">
        <v>35</v>
      </c>
      <c r="G185" s="116" t="s">
        <v>49</v>
      </c>
      <c r="H185" s="64">
        <v>24</v>
      </c>
      <c r="I185" s="64" t="s">
        <v>372</v>
      </c>
      <c r="J185" s="111" t="s">
        <v>51</v>
      </c>
      <c r="K185" s="65">
        <v>46144</v>
      </c>
      <c r="L185" s="64">
        <v>10</v>
      </c>
      <c r="M185" s="64" t="s">
        <v>60</v>
      </c>
      <c r="N185" s="64"/>
      <c r="O185" s="101">
        <v>10</v>
      </c>
      <c r="P185" s="114" t="s">
        <v>323</v>
      </c>
      <c r="Q185" s="21" t="str">
        <f ca="1">IFERROR(__xludf.DUMMYFUNCTION("IF(P185="""","""",IF(REGEXMATCH(UPPER(P185),""CITRATE""),""Citrate"",IF(REGEXMATCH(UPPER(P185),""ACETATE""),""Sodium Acetate"",IF(REGEXMATCH(UPPER(P185),""PBS""),""PBS"",IF(REGEXMATCH(UPPER(P185),""TRIS""),""Tris"",IF(REGEXMATCH(UPPER(P185),""HEPES""),""H"&amp;"EPES"",IF(REGEXMATCH(UPPER(P185),""HISTIDINE""),""Histidine"",IF(REGEXMATCH(UPPER(P185),""SUCCINATE""),""Succinate"",IF(REGEXMATCH(UPPER(P185),""GLYCINE""),""Glycine"",P185)))))))))"),"Citrate")</f>
        <v>Citrate</v>
      </c>
      <c r="R185" s="25"/>
      <c r="S185" s="26">
        <v>10</v>
      </c>
      <c r="T185" s="114"/>
      <c r="U185" s="114"/>
      <c r="V185" s="23" t="s">
        <v>470</v>
      </c>
      <c r="W185" s="75" t="s">
        <v>687</v>
      </c>
      <c r="X185" s="75" t="s">
        <v>478</v>
      </c>
      <c r="Y185" s="75" t="s">
        <v>688</v>
      </c>
      <c r="Z185" s="109" t="s">
        <v>689</v>
      </c>
      <c r="AA185" s="109"/>
      <c r="AB185" s="90" t="s">
        <v>475</v>
      </c>
    </row>
    <row r="186" spans="1:28" ht="15.75" customHeight="1">
      <c r="A186" s="85">
        <v>183</v>
      </c>
      <c r="B186" s="85" t="s">
        <v>401</v>
      </c>
      <c r="C186" s="106" t="s">
        <v>402</v>
      </c>
      <c r="D186" s="81"/>
      <c r="E186" s="117" t="s">
        <v>542</v>
      </c>
      <c r="F186" s="64">
        <v>35</v>
      </c>
      <c r="G186" s="116" t="s">
        <v>49</v>
      </c>
      <c r="H186" s="64">
        <v>24</v>
      </c>
      <c r="I186" s="64" t="s">
        <v>372</v>
      </c>
      <c r="J186" s="111" t="s">
        <v>51</v>
      </c>
      <c r="K186" s="65">
        <v>46144</v>
      </c>
      <c r="L186" s="64">
        <v>10</v>
      </c>
      <c r="M186" s="64" t="s">
        <v>60</v>
      </c>
      <c r="N186" s="64"/>
      <c r="O186" s="101">
        <v>10</v>
      </c>
      <c r="P186" s="114" t="s">
        <v>323</v>
      </c>
      <c r="Q186" s="21" t="str">
        <f ca="1">IFERROR(__xludf.DUMMYFUNCTION("IF(P186="""","""",IF(REGEXMATCH(UPPER(P186),""CITRATE""),""Citrate"",IF(REGEXMATCH(UPPER(P186),""ACETATE""),""Sodium Acetate"",IF(REGEXMATCH(UPPER(P186),""PBS""),""PBS"",IF(REGEXMATCH(UPPER(P186),""TRIS""),""Tris"",IF(REGEXMATCH(UPPER(P186),""HEPES""),""H"&amp;"EPES"",IF(REGEXMATCH(UPPER(P186),""HISTIDINE""),""Histidine"",IF(REGEXMATCH(UPPER(P186),""SUCCINATE""),""Succinate"",IF(REGEXMATCH(UPPER(P186),""GLYCINE""),""Glycine"",P186)))))))))"),"Citrate")</f>
        <v>Citrate</v>
      </c>
      <c r="R186" s="25"/>
      <c r="S186" s="26">
        <v>10</v>
      </c>
      <c r="T186" s="114"/>
      <c r="U186" s="114"/>
      <c r="V186" s="23" t="s">
        <v>470</v>
      </c>
      <c r="W186" s="75" t="s">
        <v>690</v>
      </c>
      <c r="X186" s="75" t="s">
        <v>557</v>
      </c>
      <c r="Y186" s="75" t="s">
        <v>691</v>
      </c>
      <c r="Z186" s="109" t="s">
        <v>692</v>
      </c>
      <c r="AA186" s="109"/>
      <c r="AB186" s="90" t="s">
        <v>475</v>
      </c>
    </row>
    <row r="187" spans="1:28" ht="15.75" customHeight="1">
      <c r="A187" s="85">
        <v>184</v>
      </c>
      <c r="B187" s="85" t="s">
        <v>401</v>
      </c>
      <c r="C187" s="106" t="s">
        <v>402</v>
      </c>
      <c r="D187" s="81"/>
      <c r="E187" s="117" t="s">
        <v>547</v>
      </c>
      <c r="F187" s="64">
        <v>35</v>
      </c>
      <c r="G187" s="116" t="s">
        <v>49</v>
      </c>
      <c r="H187" s="64">
        <v>24</v>
      </c>
      <c r="I187" s="64" t="s">
        <v>372</v>
      </c>
      <c r="J187" s="111" t="s">
        <v>51</v>
      </c>
      <c r="K187" s="65">
        <v>46144</v>
      </c>
      <c r="L187" s="64">
        <v>10</v>
      </c>
      <c r="M187" s="64" t="s">
        <v>60</v>
      </c>
      <c r="N187" s="64"/>
      <c r="O187" s="101">
        <v>10</v>
      </c>
      <c r="P187" s="114" t="s">
        <v>323</v>
      </c>
      <c r="Q187" s="21" t="str">
        <f ca="1">IFERROR(__xludf.DUMMYFUNCTION("IF(P187="""","""",IF(REGEXMATCH(UPPER(P187),""CITRATE""),""Citrate"",IF(REGEXMATCH(UPPER(P187),""ACETATE""),""Sodium Acetate"",IF(REGEXMATCH(UPPER(P187),""PBS""),""PBS"",IF(REGEXMATCH(UPPER(P187),""TRIS""),""Tris"",IF(REGEXMATCH(UPPER(P187),""HEPES""),""H"&amp;"EPES"",IF(REGEXMATCH(UPPER(P187),""HISTIDINE""),""Histidine"",IF(REGEXMATCH(UPPER(P187),""SUCCINATE""),""Succinate"",IF(REGEXMATCH(UPPER(P187),""GLYCINE""),""Glycine"",P187)))))))))"),"Citrate")</f>
        <v>Citrate</v>
      </c>
      <c r="R187" s="25"/>
      <c r="S187" s="26">
        <v>10</v>
      </c>
      <c r="T187" s="114"/>
      <c r="U187" s="114"/>
      <c r="V187" s="23" t="s">
        <v>470</v>
      </c>
      <c r="W187" s="75" t="s">
        <v>693</v>
      </c>
      <c r="X187" s="75" t="s">
        <v>694</v>
      </c>
      <c r="Y187" s="75" t="s">
        <v>695</v>
      </c>
      <c r="Z187" s="109" t="s">
        <v>696</v>
      </c>
      <c r="AA187" s="109"/>
      <c r="AB187" s="90" t="s">
        <v>475</v>
      </c>
    </row>
    <row r="188" spans="1:28" ht="15.75" customHeight="1">
      <c r="A188" s="85">
        <v>185</v>
      </c>
      <c r="B188" s="85" t="s">
        <v>401</v>
      </c>
      <c r="C188" s="106" t="s">
        <v>402</v>
      </c>
      <c r="D188" s="81"/>
      <c r="E188" s="117" t="s">
        <v>569</v>
      </c>
      <c r="F188" s="64">
        <v>35</v>
      </c>
      <c r="G188" s="116" t="s">
        <v>49</v>
      </c>
      <c r="H188" s="64">
        <v>24</v>
      </c>
      <c r="I188" s="64" t="s">
        <v>372</v>
      </c>
      <c r="J188" s="111" t="s">
        <v>51</v>
      </c>
      <c r="K188" s="65">
        <v>46144</v>
      </c>
      <c r="L188" s="64">
        <v>10</v>
      </c>
      <c r="M188" s="64" t="s">
        <v>60</v>
      </c>
      <c r="N188" s="64"/>
      <c r="O188" s="101">
        <v>10</v>
      </c>
      <c r="P188" s="114" t="s">
        <v>323</v>
      </c>
      <c r="Q188" s="21" t="str">
        <f ca="1">IFERROR(__xludf.DUMMYFUNCTION("IF(P188="""","""",IF(REGEXMATCH(UPPER(P188),""CITRATE""),""Citrate"",IF(REGEXMATCH(UPPER(P188),""ACETATE""),""Sodium Acetate"",IF(REGEXMATCH(UPPER(P188),""PBS""),""PBS"",IF(REGEXMATCH(UPPER(P188),""TRIS""),""Tris"",IF(REGEXMATCH(UPPER(P188),""HEPES""),""H"&amp;"EPES"",IF(REGEXMATCH(UPPER(P188),""HISTIDINE""),""Histidine"",IF(REGEXMATCH(UPPER(P188),""SUCCINATE""),""Succinate"",IF(REGEXMATCH(UPPER(P188),""GLYCINE""),""Glycine"",P188)))))))))"),"Citrate")</f>
        <v>Citrate</v>
      </c>
      <c r="R188" s="25"/>
      <c r="S188" s="26">
        <v>10</v>
      </c>
      <c r="T188" s="114"/>
      <c r="U188" s="114"/>
      <c r="V188" s="23" t="s">
        <v>470</v>
      </c>
      <c r="W188" s="75" t="s">
        <v>697</v>
      </c>
      <c r="X188" s="75" t="s">
        <v>698</v>
      </c>
      <c r="Y188" s="75" t="s">
        <v>699</v>
      </c>
      <c r="Z188" s="109" t="s">
        <v>700</v>
      </c>
      <c r="AA188" s="109"/>
      <c r="AB188" s="90" t="s">
        <v>475</v>
      </c>
    </row>
    <row r="189" spans="1:28" ht="15.75" customHeight="1">
      <c r="A189" s="85">
        <v>186</v>
      </c>
      <c r="B189" s="85" t="s">
        <v>401</v>
      </c>
      <c r="C189" s="106" t="s">
        <v>402</v>
      </c>
      <c r="D189" s="81"/>
      <c r="E189" s="117" t="s">
        <v>574</v>
      </c>
      <c r="F189" s="64">
        <v>35</v>
      </c>
      <c r="G189" s="116" t="s">
        <v>49</v>
      </c>
      <c r="H189" s="64">
        <v>24</v>
      </c>
      <c r="I189" s="64" t="s">
        <v>372</v>
      </c>
      <c r="J189" s="111" t="s">
        <v>51</v>
      </c>
      <c r="K189" s="65">
        <v>46144</v>
      </c>
      <c r="L189" s="64">
        <v>10</v>
      </c>
      <c r="M189" s="64" t="s">
        <v>60</v>
      </c>
      <c r="N189" s="64"/>
      <c r="O189" s="101">
        <v>10</v>
      </c>
      <c r="P189" s="114" t="s">
        <v>323</v>
      </c>
      <c r="Q189" s="21" t="str">
        <f ca="1">IFERROR(__xludf.DUMMYFUNCTION("IF(P189="""","""",IF(REGEXMATCH(UPPER(P189),""CITRATE""),""Citrate"",IF(REGEXMATCH(UPPER(P189),""ACETATE""),""Sodium Acetate"",IF(REGEXMATCH(UPPER(P189),""PBS""),""PBS"",IF(REGEXMATCH(UPPER(P189),""TRIS""),""Tris"",IF(REGEXMATCH(UPPER(P189),""HEPES""),""H"&amp;"EPES"",IF(REGEXMATCH(UPPER(P189),""HISTIDINE""),""Histidine"",IF(REGEXMATCH(UPPER(P189),""SUCCINATE""),""Succinate"",IF(REGEXMATCH(UPPER(P189),""GLYCINE""),""Glycine"",P189)))))))))"),"Citrate")</f>
        <v>Citrate</v>
      </c>
      <c r="R189" s="25"/>
      <c r="S189" s="26">
        <v>10</v>
      </c>
      <c r="T189" s="114"/>
      <c r="U189" s="114"/>
      <c r="V189" s="23" t="s">
        <v>470</v>
      </c>
      <c r="W189" s="75" t="s">
        <v>701</v>
      </c>
      <c r="X189" s="75" t="s">
        <v>702</v>
      </c>
      <c r="Y189" s="75" t="s">
        <v>703</v>
      </c>
      <c r="Z189" s="109" t="s">
        <v>609</v>
      </c>
      <c r="AA189" s="109"/>
      <c r="AB189" s="90" t="s">
        <v>475</v>
      </c>
    </row>
    <row r="190" spans="1:28" ht="15.75" customHeight="1">
      <c r="A190" s="85">
        <v>187</v>
      </c>
      <c r="B190" s="85" t="s">
        <v>401</v>
      </c>
      <c r="C190" s="106" t="s">
        <v>402</v>
      </c>
      <c r="D190" s="81"/>
      <c r="E190" s="117" t="s">
        <v>469</v>
      </c>
      <c r="F190" s="64">
        <v>35</v>
      </c>
      <c r="G190" s="116" t="s">
        <v>49</v>
      </c>
      <c r="H190" s="64">
        <v>8</v>
      </c>
      <c r="I190" s="64" t="s">
        <v>372</v>
      </c>
      <c r="J190" s="111" t="s">
        <v>51</v>
      </c>
      <c r="K190" s="65">
        <v>46144</v>
      </c>
      <c r="L190" s="64">
        <v>10</v>
      </c>
      <c r="M190" s="64" t="s">
        <v>60</v>
      </c>
      <c r="N190" s="64"/>
      <c r="O190" s="101">
        <v>10</v>
      </c>
      <c r="P190" s="114" t="s">
        <v>323</v>
      </c>
      <c r="Q190" s="21" t="str">
        <f ca="1">IFERROR(__xludf.DUMMYFUNCTION("IF(P190="""","""",IF(REGEXMATCH(UPPER(P190),""CITRATE""),""Citrate"",IF(REGEXMATCH(UPPER(P190),""ACETATE""),""Sodium Acetate"",IF(REGEXMATCH(UPPER(P190),""PBS""),""PBS"",IF(REGEXMATCH(UPPER(P190),""TRIS""),""Tris"",IF(REGEXMATCH(UPPER(P190),""HEPES""),""H"&amp;"EPES"",IF(REGEXMATCH(UPPER(P190),""HISTIDINE""),""Histidine"",IF(REGEXMATCH(UPPER(P190),""SUCCINATE""),""Succinate"",IF(REGEXMATCH(UPPER(P190),""GLYCINE""),""Glycine"",P190)))))))))"),"Citrate")</f>
        <v>Citrate</v>
      </c>
      <c r="R190" s="25"/>
      <c r="S190" s="26">
        <v>10</v>
      </c>
      <c r="T190" s="114"/>
      <c r="U190" s="114"/>
      <c r="V190" s="23" t="s">
        <v>470</v>
      </c>
      <c r="W190" s="75" t="s">
        <v>704</v>
      </c>
      <c r="X190" s="75" t="s">
        <v>595</v>
      </c>
      <c r="Y190" s="75" t="s">
        <v>705</v>
      </c>
      <c r="Z190" s="109" t="s">
        <v>706</v>
      </c>
      <c r="AA190" s="109"/>
      <c r="AB190" s="90" t="s">
        <v>475</v>
      </c>
    </row>
    <row r="191" spans="1:28" ht="15.75" customHeight="1">
      <c r="A191" s="85">
        <v>188</v>
      </c>
      <c r="B191" s="85" t="s">
        <v>401</v>
      </c>
      <c r="C191" s="106" t="s">
        <v>402</v>
      </c>
      <c r="D191" s="81"/>
      <c r="E191" s="117" t="s">
        <v>476</v>
      </c>
      <c r="F191" s="64">
        <v>35</v>
      </c>
      <c r="G191" s="116" t="s">
        <v>49</v>
      </c>
      <c r="H191" s="64">
        <v>8</v>
      </c>
      <c r="I191" s="64" t="s">
        <v>372</v>
      </c>
      <c r="J191" s="111" t="s">
        <v>51</v>
      </c>
      <c r="K191" s="65">
        <v>46144</v>
      </c>
      <c r="L191" s="64">
        <v>10</v>
      </c>
      <c r="M191" s="64" t="s">
        <v>60</v>
      </c>
      <c r="N191" s="64"/>
      <c r="O191" s="101">
        <v>10</v>
      </c>
      <c r="P191" s="114" t="s">
        <v>323</v>
      </c>
      <c r="Q191" s="21" t="str">
        <f ca="1">IFERROR(__xludf.DUMMYFUNCTION("IF(P191="""","""",IF(REGEXMATCH(UPPER(P191),""CITRATE""),""Citrate"",IF(REGEXMATCH(UPPER(P191),""ACETATE""),""Sodium Acetate"",IF(REGEXMATCH(UPPER(P191),""PBS""),""PBS"",IF(REGEXMATCH(UPPER(P191),""TRIS""),""Tris"",IF(REGEXMATCH(UPPER(P191),""HEPES""),""H"&amp;"EPES"",IF(REGEXMATCH(UPPER(P191),""HISTIDINE""),""Histidine"",IF(REGEXMATCH(UPPER(P191),""SUCCINATE""),""Succinate"",IF(REGEXMATCH(UPPER(P191),""GLYCINE""),""Glycine"",P191)))))))))"),"Citrate")</f>
        <v>Citrate</v>
      </c>
      <c r="R191" s="25"/>
      <c r="S191" s="26">
        <v>10</v>
      </c>
      <c r="T191" s="114"/>
      <c r="U191" s="114"/>
      <c r="V191" s="23" t="s">
        <v>470</v>
      </c>
      <c r="W191" s="75" t="s">
        <v>707</v>
      </c>
      <c r="X191" s="75" t="s">
        <v>708</v>
      </c>
      <c r="Y191" s="75" t="s">
        <v>709</v>
      </c>
      <c r="Z191" s="109" t="s">
        <v>710</v>
      </c>
      <c r="AA191" s="109"/>
      <c r="AB191" s="90" t="s">
        <v>475</v>
      </c>
    </row>
    <row r="192" spans="1:28" ht="15.75" customHeight="1">
      <c r="A192" s="85">
        <v>189</v>
      </c>
      <c r="B192" s="85" t="s">
        <v>401</v>
      </c>
      <c r="C192" s="106" t="s">
        <v>402</v>
      </c>
      <c r="D192" s="81"/>
      <c r="E192" s="117" t="s">
        <v>499</v>
      </c>
      <c r="F192" s="64">
        <v>35</v>
      </c>
      <c r="G192" s="116" t="s">
        <v>49</v>
      </c>
      <c r="H192" s="64">
        <v>8</v>
      </c>
      <c r="I192" s="64" t="s">
        <v>372</v>
      </c>
      <c r="J192" s="111" t="s">
        <v>51</v>
      </c>
      <c r="K192" s="65">
        <v>46144</v>
      </c>
      <c r="L192" s="64">
        <v>10</v>
      </c>
      <c r="M192" s="64" t="s">
        <v>60</v>
      </c>
      <c r="N192" s="64"/>
      <c r="O192" s="101">
        <v>10</v>
      </c>
      <c r="P192" s="114" t="s">
        <v>323</v>
      </c>
      <c r="Q192" s="21" t="str">
        <f ca="1">IFERROR(__xludf.DUMMYFUNCTION("IF(P192="""","""",IF(REGEXMATCH(UPPER(P192),""CITRATE""),""Citrate"",IF(REGEXMATCH(UPPER(P192),""ACETATE""),""Sodium Acetate"",IF(REGEXMATCH(UPPER(P192),""PBS""),""PBS"",IF(REGEXMATCH(UPPER(P192),""TRIS""),""Tris"",IF(REGEXMATCH(UPPER(P192),""HEPES""),""H"&amp;"EPES"",IF(REGEXMATCH(UPPER(P192),""HISTIDINE""),""Histidine"",IF(REGEXMATCH(UPPER(P192),""SUCCINATE""),""Succinate"",IF(REGEXMATCH(UPPER(P192),""GLYCINE""),""Glycine"",P192)))))))))"),"Citrate")</f>
        <v>Citrate</v>
      </c>
      <c r="R192" s="25"/>
      <c r="S192" s="26">
        <v>10</v>
      </c>
      <c r="T192" s="114"/>
      <c r="U192" s="114"/>
      <c r="V192" s="23" t="s">
        <v>470</v>
      </c>
      <c r="W192" s="75" t="s">
        <v>496</v>
      </c>
      <c r="X192" s="75" t="s">
        <v>708</v>
      </c>
      <c r="Y192" s="75" t="s">
        <v>711</v>
      </c>
      <c r="Z192" s="109" t="s">
        <v>689</v>
      </c>
      <c r="AA192" s="109"/>
      <c r="AB192" s="90" t="s">
        <v>475</v>
      </c>
    </row>
    <row r="193" spans="1:28" ht="15.75" customHeight="1">
      <c r="A193" s="85">
        <v>190</v>
      </c>
      <c r="B193" s="85" t="s">
        <v>401</v>
      </c>
      <c r="C193" s="106" t="s">
        <v>402</v>
      </c>
      <c r="D193" s="81"/>
      <c r="E193" s="117" t="s">
        <v>502</v>
      </c>
      <c r="F193" s="64">
        <v>35</v>
      </c>
      <c r="G193" s="116" t="s">
        <v>49</v>
      </c>
      <c r="H193" s="64">
        <v>8</v>
      </c>
      <c r="I193" s="64" t="s">
        <v>372</v>
      </c>
      <c r="J193" s="111" t="s">
        <v>51</v>
      </c>
      <c r="K193" s="65">
        <v>46144</v>
      </c>
      <c r="L193" s="64">
        <v>10</v>
      </c>
      <c r="M193" s="64" t="s">
        <v>60</v>
      </c>
      <c r="N193" s="64"/>
      <c r="O193" s="101">
        <v>10</v>
      </c>
      <c r="P193" s="114" t="s">
        <v>323</v>
      </c>
      <c r="Q193" s="21" t="str">
        <f ca="1">IFERROR(__xludf.DUMMYFUNCTION("IF(P193="""","""",IF(REGEXMATCH(UPPER(P193),""CITRATE""),""Citrate"",IF(REGEXMATCH(UPPER(P193),""ACETATE""),""Sodium Acetate"",IF(REGEXMATCH(UPPER(P193),""PBS""),""PBS"",IF(REGEXMATCH(UPPER(P193),""TRIS""),""Tris"",IF(REGEXMATCH(UPPER(P193),""HEPES""),""H"&amp;"EPES"",IF(REGEXMATCH(UPPER(P193),""HISTIDINE""),""Histidine"",IF(REGEXMATCH(UPPER(P193),""SUCCINATE""),""Succinate"",IF(REGEXMATCH(UPPER(P193),""GLYCINE""),""Glycine"",P193)))))))))"),"Citrate")</f>
        <v>Citrate</v>
      </c>
      <c r="R193" s="25"/>
      <c r="S193" s="26">
        <v>10</v>
      </c>
      <c r="T193" s="114"/>
      <c r="U193" s="114"/>
      <c r="V193" s="23" t="s">
        <v>470</v>
      </c>
      <c r="W193" s="75" t="s">
        <v>712</v>
      </c>
      <c r="X193" s="75" t="s">
        <v>713</v>
      </c>
      <c r="Y193" s="75" t="s">
        <v>714</v>
      </c>
      <c r="Z193" s="109" t="s">
        <v>715</v>
      </c>
      <c r="AA193" s="109"/>
      <c r="AB193" s="90" t="s">
        <v>475</v>
      </c>
    </row>
    <row r="194" spans="1:28" ht="15.75" customHeight="1">
      <c r="A194" s="85">
        <v>191</v>
      </c>
      <c r="B194" s="85" t="s">
        <v>401</v>
      </c>
      <c r="C194" s="106" t="s">
        <v>402</v>
      </c>
      <c r="D194" s="81"/>
      <c r="E194" s="117" t="s">
        <v>507</v>
      </c>
      <c r="F194" s="64">
        <v>35</v>
      </c>
      <c r="G194" s="116" t="s">
        <v>49</v>
      </c>
      <c r="H194" s="64">
        <v>8</v>
      </c>
      <c r="I194" s="64" t="s">
        <v>372</v>
      </c>
      <c r="J194" s="111" t="s">
        <v>51</v>
      </c>
      <c r="K194" s="65">
        <v>46144</v>
      </c>
      <c r="L194" s="64">
        <v>10</v>
      </c>
      <c r="M194" s="64" t="s">
        <v>60</v>
      </c>
      <c r="N194" s="64"/>
      <c r="O194" s="101">
        <v>10</v>
      </c>
      <c r="P194" s="114" t="s">
        <v>323</v>
      </c>
      <c r="Q194" s="21" t="str">
        <f ca="1">IFERROR(__xludf.DUMMYFUNCTION("IF(P194="""","""",IF(REGEXMATCH(UPPER(P194),""CITRATE""),""Citrate"",IF(REGEXMATCH(UPPER(P194),""ACETATE""),""Sodium Acetate"",IF(REGEXMATCH(UPPER(P194),""PBS""),""PBS"",IF(REGEXMATCH(UPPER(P194),""TRIS""),""Tris"",IF(REGEXMATCH(UPPER(P194),""HEPES""),""H"&amp;"EPES"",IF(REGEXMATCH(UPPER(P194),""HISTIDINE""),""Histidine"",IF(REGEXMATCH(UPPER(P194),""SUCCINATE""),""Succinate"",IF(REGEXMATCH(UPPER(P194),""GLYCINE""),""Glycine"",P194)))))))))"),"Citrate")</f>
        <v>Citrate</v>
      </c>
      <c r="R194" s="25"/>
      <c r="S194" s="26">
        <v>10</v>
      </c>
      <c r="T194" s="114"/>
      <c r="U194" s="114"/>
      <c r="V194" s="23" t="s">
        <v>470</v>
      </c>
      <c r="W194" s="75" t="s">
        <v>716</v>
      </c>
      <c r="X194" s="75" t="s">
        <v>478</v>
      </c>
      <c r="Y194" s="75" t="s">
        <v>717</v>
      </c>
      <c r="Z194" s="109" t="s">
        <v>718</v>
      </c>
      <c r="AA194" s="109"/>
      <c r="AB194" s="90" t="s">
        <v>475</v>
      </c>
    </row>
    <row r="195" spans="1:28" ht="15.75" customHeight="1">
      <c r="A195" s="85">
        <v>192</v>
      </c>
      <c r="B195" s="85" t="s">
        <v>401</v>
      </c>
      <c r="C195" s="106" t="s">
        <v>402</v>
      </c>
      <c r="D195" s="81"/>
      <c r="E195" s="117" t="s">
        <v>511</v>
      </c>
      <c r="F195" s="64">
        <v>35</v>
      </c>
      <c r="G195" s="116" t="s">
        <v>49</v>
      </c>
      <c r="H195" s="64">
        <v>8</v>
      </c>
      <c r="I195" s="64" t="s">
        <v>372</v>
      </c>
      <c r="J195" s="111" t="s">
        <v>51</v>
      </c>
      <c r="K195" s="65">
        <v>46144</v>
      </c>
      <c r="L195" s="64">
        <v>10</v>
      </c>
      <c r="M195" s="64" t="s">
        <v>60</v>
      </c>
      <c r="N195" s="64"/>
      <c r="O195" s="101">
        <v>10</v>
      </c>
      <c r="P195" s="114" t="s">
        <v>323</v>
      </c>
      <c r="Q195" s="21" t="str">
        <f ca="1">IFERROR(__xludf.DUMMYFUNCTION("IF(P195="""","""",IF(REGEXMATCH(UPPER(P195),""CITRATE""),""Citrate"",IF(REGEXMATCH(UPPER(P195),""ACETATE""),""Sodium Acetate"",IF(REGEXMATCH(UPPER(P195),""PBS""),""PBS"",IF(REGEXMATCH(UPPER(P195),""TRIS""),""Tris"",IF(REGEXMATCH(UPPER(P195),""HEPES""),""H"&amp;"EPES"",IF(REGEXMATCH(UPPER(P195),""HISTIDINE""),""Histidine"",IF(REGEXMATCH(UPPER(P195),""SUCCINATE""),""Succinate"",IF(REGEXMATCH(UPPER(P195),""GLYCINE""),""Glycine"",P195)))))))))"),"Citrate")</f>
        <v>Citrate</v>
      </c>
      <c r="R195" s="25"/>
      <c r="S195" s="26">
        <v>10</v>
      </c>
      <c r="T195" s="114"/>
      <c r="U195" s="114"/>
      <c r="V195" s="23" t="s">
        <v>470</v>
      </c>
      <c r="W195" s="75" t="s">
        <v>719</v>
      </c>
      <c r="X195" s="75" t="s">
        <v>557</v>
      </c>
      <c r="Y195" s="75" t="s">
        <v>720</v>
      </c>
      <c r="Z195" s="109" t="s">
        <v>721</v>
      </c>
      <c r="AA195" s="109"/>
      <c r="AB195" s="90" t="s">
        <v>475</v>
      </c>
    </row>
    <row r="196" spans="1:28" ht="15.75" customHeight="1">
      <c r="A196" s="85">
        <v>193</v>
      </c>
      <c r="B196" s="85" t="s">
        <v>401</v>
      </c>
      <c r="C196" s="106" t="s">
        <v>402</v>
      </c>
      <c r="D196" s="81"/>
      <c r="E196" s="117" t="s">
        <v>411</v>
      </c>
      <c r="F196" s="64">
        <v>35</v>
      </c>
      <c r="G196" s="116" t="s">
        <v>49</v>
      </c>
      <c r="H196" s="64">
        <v>8</v>
      </c>
      <c r="I196" s="64" t="s">
        <v>372</v>
      </c>
      <c r="J196" s="111" t="s">
        <v>51</v>
      </c>
      <c r="K196" s="65">
        <v>46144</v>
      </c>
      <c r="L196" s="64">
        <v>10</v>
      </c>
      <c r="M196" s="64" t="s">
        <v>60</v>
      </c>
      <c r="N196" s="64"/>
      <c r="O196" s="101">
        <v>10</v>
      </c>
      <c r="P196" s="114" t="s">
        <v>323</v>
      </c>
      <c r="Q196" s="21" t="str">
        <f ca="1">IFERROR(__xludf.DUMMYFUNCTION("IF(P196="""","""",IF(REGEXMATCH(UPPER(P196),""CITRATE""),""Citrate"",IF(REGEXMATCH(UPPER(P196),""ACETATE""),""Sodium Acetate"",IF(REGEXMATCH(UPPER(P196),""PBS""),""PBS"",IF(REGEXMATCH(UPPER(P196),""TRIS""),""Tris"",IF(REGEXMATCH(UPPER(P196),""HEPES""),""H"&amp;"EPES"",IF(REGEXMATCH(UPPER(P196),""HISTIDINE""),""Histidine"",IF(REGEXMATCH(UPPER(P196),""SUCCINATE""),""Succinate"",IF(REGEXMATCH(UPPER(P196),""GLYCINE""),""Glycine"",P196)))))))))"),"Citrate")</f>
        <v>Citrate</v>
      </c>
      <c r="R196" s="25"/>
      <c r="S196" s="26">
        <v>10</v>
      </c>
      <c r="T196" s="114"/>
      <c r="U196" s="114"/>
      <c r="V196" s="23" t="s">
        <v>470</v>
      </c>
      <c r="W196" s="75" t="s">
        <v>722</v>
      </c>
      <c r="X196" s="75" t="s">
        <v>723</v>
      </c>
      <c r="Y196" s="75" t="s">
        <v>549</v>
      </c>
      <c r="Z196" s="109" t="s">
        <v>724</v>
      </c>
      <c r="AA196" s="109"/>
      <c r="AB196" s="90" t="s">
        <v>475</v>
      </c>
    </row>
    <row r="197" spans="1:28" ht="15.75" customHeight="1">
      <c r="A197" s="85">
        <v>194</v>
      </c>
      <c r="B197" s="85" t="s">
        <v>401</v>
      </c>
      <c r="C197" s="106" t="s">
        <v>402</v>
      </c>
      <c r="D197" s="81"/>
      <c r="E197" s="117" t="s">
        <v>538</v>
      </c>
      <c r="F197" s="64">
        <v>35</v>
      </c>
      <c r="G197" s="116" t="s">
        <v>49</v>
      </c>
      <c r="H197" s="64">
        <v>8</v>
      </c>
      <c r="I197" s="64" t="s">
        <v>372</v>
      </c>
      <c r="J197" s="111" t="s">
        <v>51</v>
      </c>
      <c r="K197" s="65">
        <v>46144</v>
      </c>
      <c r="L197" s="64">
        <v>10</v>
      </c>
      <c r="M197" s="64" t="s">
        <v>60</v>
      </c>
      <c r="N197" s="64"/>
      <c r="O197" s="101">
        <v>10</v>
      </c>
      <c r="P197" s="114" t="s">
        <v>323</v>
      </c>
      <c r="Q197" s="21" t="str">
        <f ca="1">IFERROR(__xludf.DUMMYFUNCTION("IF(P197="""","""",IF(REGEXMATCH(UPPER(P197),""CITRATE""),""Citrate"",IF(REGEXMATCH(UPPER(P197),""ACETATE""),""Sodium Acetate"",IF(REGEXMATCH(UPPER(P197),""PBS""),""PBS"",IF(REGEXMATCH(UPPER(P197),""TRIS""),""Tris"",IF(REGEXMATCH(UPPER(P197),""HEPES""),""H"&amp;"EPES"",IF(REGEXMATCH(UPPER(P197),""HISTIDINE""),""Histidine"",IF(REGEXMATCH(UPPER(P197),""SUCCINATE""),""Succinate"",IF(REGEXMATCH(UPPER(P197),""GLYCINE""),""Glycine"",P197)))))))))"),"Citrate")</f>
        <v>Citrate</v>
      </c>
      <c r="R197" s="25"/>
      <c r="S197" s="26">
        <v>10</v>
      </c>
      <c r="T197" s="114"/>
      <c r="U197" s="114"/>
      <c r="V197" s="23" t="s">
        <v>470</v>
      </c>
      <c r="W197" s="75" t="s">
        <v>725</v>
      </c>
      <c r="X197" s="75" t="s">
        <v>726</v>
      </c>
      <c r="Y197" s="75" t="s">
        <v>727</v>
      </c>
      <c r="Z197" s="109" t="s">
        <v>583</v>
      </c>
      <c r="AA197" s="109"/>
      <c r="AB197" s="90" t="s">
        <v>475</v>
      </c>
    </row>
    <row r="198" spans="1:28" ht="15.75" customHeight="1">
      <c r="A198" s="85">
        <v>195</v>
      </c>
      <c r="B198" s="85" t="s">
        <v>401</v>
      </c>
      <c r="C198" s="106" t="s">
        <v>402</v>
      </c>
      <c r="D198" s="81"/>
      <c r="E198" s="117" t="s">
        <v>542</v>
      </c>
      <c r="F198" s="64">
        <v>35</v>
      </c>
      <c r="G198" s="116" t="s">
        <v>49</v>
      </c>
      <c r="H198" s="64">
        <v>8</v>
      </c>
      <c r="I198" s="64" t="s">
        <v>372</v>
      </c>
      <c r="J198" s="111" t="s">
        <v>51</v>
      </c>
      <c r="K198" s="65">
        <v>46144</v>
      </c>
      <c r="L198" s="64">
        <v>10</v>
      </c>
      <c r="M198" s="64" t="s">
        <v>60</v>
      </c>
      <c r="N198" s="64"/>
      <c r="O198" s="101">
        <v>10</v>
      </c>
      <c r="P198" s="114" t="s">
        <v>323</v>
      </c>
      <c r="Q198" s="21" t="str">
        <f ca="1">IFERROR(__xludf.DUMMYFUNCTION("IF(P198="""","""",IF(REGEXMATCH(UPPER(P198),""CITRATE""),""Citrate"",IF(REGEXMATCH(UPPER(P198),""ACETATE""),""Sodium Acetate"",IF(REGEXMATCH(UPPER(P198),""PBS""),""PBS"",IF(REGEXMATCH(UPPER(P198),""TRIS""),""Tris"",IF(REGEXMATCH(UPPER(P198),""HEPES""),""H"&amp;"EPES"",IF(REGEXMATCH(UPPER(P198),""HISTIDINE""),""Histidine"",IF(REGEXMATCH(UPPER(P198),""SUCCINATE""),""Succinate"",IF(REGEXMATCH(UPPER(P198),""GLYCINE""),""Glycine"",P198)))))))))"),"Citrate")</f>
        <v>Citrate</v>
      </c>
      <c r="R198" s="25"/>
      <c r="S198" s="26">
        <v>10</v>
      </c>
      <c r="T198" s="114"/>
      <c r="U198" s="114"/>
      <c r="V198" s="23" t="s">
        <v>470</v>
      </c>
      <c r="W198" s="75" t="s">
        <v>636</v>
      </c>
      <c r="X198" s="75" t="s">
        <v>728</v>
      </c>
      <c r="Y198" s="75" t="s">
        <v>729</v>
      </c>
      <c r="Z198" s="109" t="s">
        <v>730</v>
      </c>
      <c r="AA198" s="109"/>
      <c r="AB198" s="90" t="s">
        <v>475</v>
      </c>
    </row>
    <row r="199" spans="1:28" ht="15.75" customHeight="1">
      <c r="A199" s="85">
        <v>196</v>
      </c>
      <c r="B199" s="85" t="s">
        <v>401</v>
      </c>
      <c r="C199" s="106" t="s">
        <v>402</v>
      </c>
      <c r="D199" s="81"/>
      <c r="E199" s="117" t="s">
        <v>547</v>
      </c>
      <c r="F199" s="64">
        <v>35</v>
      </c>
      <c r="G199" s="116" t="s">
        <v>49</v>
      </c>
      <c r="H199" s="64">
        <v>8</v>
      </c>
      <c r="I199" s="64" t="s">
        <v>372</v>
      </c>
      <c r="J199" s="111" t="s">
        <v>51</v>
      </c>
      <c r="K199" s="65">
        <v>46144</v>
      </c>
      <c r="L199" s="64">
        <v>10</v>
      </c>
      <c r="M199" s="64" t="s">
        <v>60</v>
      </c>
      <c r="N199" s="64"/>
      <c r="O199" s="101">
        <v>10</v>
      </c>
      <c r="P199" s="114" t="s">
        <v>323</v>
      </c>
      <c r="Q199" s="21" t="str">
        <f ca="1">IFERROR(__xludf.DUMMYFUNCTION("IF(P199="""","""",IF(REGEXMATCH(UPPER(P199),""CITRATE""),""Citrate"",IF(REGEXMATCH(UPPER(P199),""ACETATE""),""Sodium Acetate"",IF(REGEXMATCH(UPPER(P199),""PBS""),""PBS"",IF(REGEXMATCH(UPPER(P199),""TRIS""),""Tris"",IF(REGEXMATCH(UPPER(P199),""HEPES""),""H"&amp;"EPES"",IF(REGEXMATCH(UPPER(P199),""HISTIDINE""),""Histidine"",IF(REGEXMATCH(UPPER(P199),""SUCCINATE""),""Succinate"",IF(REGEXMATCH(UPPER(P199),""GLYCINE""),""Glycine"",P199)))))))))"),"Citrate")</f>
        <v>Citrate</v>
      </c>
      <c r="R199" s="25"/>
      <c r="S199" s="26">
        <v>10</v>
      </c>
      <c r="T199" s="114"/>
      <c r="U199" s="114"/>
      <c r="V199" s="23" t="s">
        <v>470</v>
      </c>
      <c r="W199" s="75" t="s">
        <v>731</v>
      </c>
      <c r="X199" s="75" t="s">
        <v>732</v>
      </c>
      <c r="Y199" s="75" t="s">
        <v>733</v>
      </c>
      <c r="Z199" s="109" t="s">
        <v>734</v>
      </c>
      <c r="AA199" s="109"/>
      <c r="AB199" s="90" t="s">
        <v>475</v>
      </c>
    </row>
    <row r="200" spans="1:28" ht="15.75" customHeight="1">
      <c r="A200" s="85">
        <v>197</v>
      </c>
      <c r="B200" s="85" t="s">
        <v>401</v>
      </c>
      <c r="C200" s="106" t="s">
        <v>402</v>
      </c>
      <c r="D200" s="81"/>
      <c r="E200" s="117" t="s">
        <v>569</v>
      </c>
      <c r="F200" s="64">
        <v>35</v>
      </c>
      <c r="G200" s="116" t="s">
        <v>49</v>
      </c>
      <c r="H200" s="64">
        <v>8</v>
      </c>
      <c r="I200" s="64" t="s">
        <v>372</v>
      </c>
      <c r="J200" s="111" t="s">
        <v>51</v>
      </c>
      <c r="K200" s="65">
        <v>46144</v>
      </c>
      <c r="L200" s="64">
        <v>10</v>
      </c>
      <c r="M200" s="64" t="s">
        <v>60</v>
      </c>
      <c r="N200" s="64"/>
      <c r="O200" s="101">
        <v>10</v>
      </c>
      <c r="P200" s="114" t="s">
        <v>323</v>
      </c>
      <c r="Q200" s="21" t="str">
        <f ca="1">IFERROR(__xludf.DUMMYFUNCTION("IF(P200="""","""",IF(REGEXMATCH(UPPER(P200),""CITRATE""),""Citrate"",IF(REGEXMATCH(UPPER(P200),""ACETATE""),""Sodium Acetate"",IF(REGEXMATCH(UPPER(P200),""PBS""),""PBS"",IF(REGEXMATCH(UPPER(P200),""TRIS""),""Tris"",IF(REGEXMATCH(UPPER(P200),""HEPES""),""H"&amp;"EPES"",IF(REGEXMATCH(UPPER(P200),""HISTIDINE""),""Histidine"",IF(REGEXMATCH(UPPER(P200),""SUCCINATE""),""Succinate"",IF(REGEXMATCH(UPPER(P200),""GLYCINE""),""Glycine"",P200)))))))))"),"Citrate")</f>
        <v>Citrate</v>
      </c>
      <c r="R200" s="25"/>
      <c r="S200" s="26">
        <v>10</v>
      </c>
      <c r="T200" s="114"/>
      <c r="U200" s="114"/>
      <c r="V200" s="23" t="s">
        <v>470</v>
      </c>
      <c r="W200" s="75" t="s">
        <v>636</v>
      </c>
      <c r="X200" s="75" t="s">
        <v>694</v>
      </c>
      <c r="Y200" s="75" t="s">
        <v>735</v>
      </c>
      <c r="Z200" s="109" t="s">
        <v>736</v>
      </c>
      <c r="AA200" s="109"/>
      <c r="AB200" s="90" t="s">
        <v>475</v>
      </c>
    </row>
    <row r="201" spans="1:28" ht="15.75" customHeight="1">
      <c r="A201" s="85">
        <v>198</v>
      </c>
      <c r="B201" s="85" t="s">
        <v>401</v>
      </c>
      <c r="C201" s="106" t="s">
        <v>402</v>
      </c>
      <c r="D201" s="81"/>
      <c r="E201" s="117" t="s">
        <v>574</v>
      </c>
      <c r="F201" s="64">
        <v>35</v>
      </c>
      <c r="G201" s="116" t="s">
        <v>49</v>
      </c>
      <c r="H201" s="64">
        <v>8</v>
      </c>
      <c r="I201" s="64" t="s">
        <v>372</v>
      </c>
      <c r="J201" s="111" t="s">
        <v>51</v>
      </c>
      <c r="K201" s="65">
        <v>46144</v>
      </c>
      <c r="L201" s="64">
        <v>10</v>
      </c>
      <c r="M201" s="64" t="s">
        <v>60</v>
      </c>
      <c r="N201" s="64"/>
      <c r="O201" s="101">
        <v>10</v>
      </c>
      <c r="P201" s="114" t="s">
        <v>323</v>
      </c>
      <c r="Q201" s="21" t="str">
        <f ca="1">IFERROR(__xludf.DUMMYFUNCTION("IF(P201="""","""",IF(REGEXMATCH(UPPER(P201),""CITRATE""),""Citrate"",IF(REGEXMATCH(UPPER(P201),""ACETATE""),""Sodium Acetate"",IF(REGEXMATCH(UPPER(P201),""PBS""),""PBS"",IF(REGEXMATCH(UPPER(P201),""TRIS""),""Tris"",IF(REGEXMATCH(UPPER(P201),""HEPES""),""H"&amp;"EPES"",IF(REGEXMATCH(UPPER(P201),""HISTIDINE""),""Histidine"",IF(REGEXMATCH(UPPER(P201),""SUCCINATE""),""Succinate"",IF(REGEXMATCH(UPPER(P201),""GLYCINE""),""Glycine"",P201)))))))))"),"Citrate")</f>
        <v>Citrate</v>
      </c>
      <c r="R201" s="25"/>
      <c r="S201" s="26">
        <v>10</v>
      </c>
      <c r="T201" s="114"/>
      <c r="U201" s="114"/>
      <c r="V201" s="23" t="s">
        <v>470</v>
      </c>
      <c r="W201" s="75" t="s">
        <v>737</v>
      </c>
      <c r="X201" s="75" t="s">
        <v>562</v>
      </c>
      <c r="Y201" s="75">
        <v>3.95</v>
      </c>
      <c r="Z201" s="109" t="s">
        <v>738</v>
      </c>
      <c r="AA201" s="109"/>
      <c r="AB201" s="90" t="s">
        <v>475</v>
      </c>
    </row>
    <row r="202" spans="1:28" ht="15.75" customHeight="1">
      <c r="A202" s="85">
        <v>199</v>
      </c>
      <c r="B202" s="85" t="s">
        <v>401</v>
      </c>
      <c r="C202" s="106" t="s">
        <v>402</v>
      </c>
      <c r="D202" s="81"/>
      <c r="E202" s="117" t="s">
        <v>469</v>
      </c>
      <c r="F202" s="64">
        <v>35</v>
      </c>
      <c r="G202" s="116" t="s">
        <v>49</v>
      </c>
      <c r="H202" s="64">
        <v>16</v>
      </c>
      <c r="I202" s="64" t="s">
        <v>739</v>
      </c>
      <c r="J202" s="111" t="s">
        <v>51</v>
      </c>
      <c r="K202" s="65">
        <v>46144</v>
      </c>
      <c r="L202" s="64">
        <v>10</v>
      </c>
      <c r="M202" s="64" t="s">
        <v>60</v>
      </c>
      <c r="N202" s="64"/>
      <c r="O202" s="101">
        <v>10</v>
      </c>
      <c r="P202" s="114" t="s">
        <v>323</v>
      </c>
      <c r="Q202" s="21" t="str">
        <f ca="1">IFERROR(__xludf.DUMMYFUNCTION("IF(P202="""","""",IF(REGEXMATCH(UPPER(P202),""CITRATE""),""Citrate"",IF(REGEXMATCH(UPPER(P202),""ACETATE""),""Sodium Acetate"",IF(REGEXMATCH(UPPER(P202),""PBS""),""PBS"",IF(REGEXMATCH(UPPER(P202),""TRIS""),""Tris"",IF(REGEXMATCH(UPPER(P202),""HEPES""),""H"&amp;"EPES"",IF(REGEXMATCH(UPPER(P202),""HISTIDINE""),""Histidine"",IF(REGEXMATCH(UPPER(P202),""SUCCINATE""),""Succinate"",IF(REGEXMATCH(UPPER(P202),""GLYCINE""),""Glycine"",P202)))))))))"),"Citrate")</f>
        <v>Citrate</v>
      </c>
      <c r="R202" s="25"/>
      <c r="S202" s="26">
        <v>10</v>
      </c>
      <c r="T202" s="114"/>
      <c r="U202" s="114"/>
      <c r="V202" s="23" t="s">
        <v>470</v>
      </c>
      <c r="W202" s="75" t="s">
        <v>740</v>
      </c>
      <c r="X202" s="75" t="s">
        <v>741</v>
      </c>
      <c r="Y202" s="75" t="s">
        <v>742</v>
      </c>
      <c r="Z202" s="109" t="s">
        <v>743</v>
      </c>
      <c r="AA202" s="109"/>
      <c r="AB202" s="90" t="s">
        <v>475</v>
      </c>
    </row>
    <row r="203" spans="1:28" ht="15.75" customHeight="1">
      <c r="A203" s="85">
        <v>200</v>
      </c>
      <c r="B203" s="85" t="s">
        <v>401</v>
      </c>
      <c r="C203" s="106" t="s">
        <v>402</v>
      </c>
      <c r="D203" s="81"/>
      <c r="E203" s="117" t="s">
        <v>476</v>
      </c>
      <c r="F203" s="64">
        <v>35</v>
      </c>
      <c r="G203" s="116" t="s">
        <v>49</v>
      </c>
      <c r="H203" s="64">
        <v>16</v>
      </c>
      <c r="I203" s="64" t="s">
        <v>739</v>
      </c>
      <c r="J203" s="111" t="s">
        <v>51</v>
      </c>
      <c r="K203" s="65">
        <v>46144</v>
      </c>
      <c r="L203" s="64">
        <v>10</v>
      </c>
      <c r="M203" s="64" t="s">
        <v>60</v>
      </c>
      <c r="N203" s="64"/>
      <c r="O203" s="101">
        <v>10</v>
      </c>
      <c r="P203" s="114" t="s">
        <v>323</v>
      </c>
      <c r="Q203" s="21" t="str">
        <f ca="1">IFERROR(__xludf.DUMMYFUNCTION("IF(P203="""","""",IF(REGEXMATCH(UPPER(P203),""CITRATE""),""Citrate"",IF(REGEXMATCH(UPPER(P203),""ACETATE""),""Sodium Acetate"",IF(REGEXMATCH(UPPER(P203),""PBS""),""PBS"",IF(REGEXMATCH(UPPER(P203),""TRIS""),""Tris"",IF(REGEXMATCH(UPPER(P203),""HEPES""),""H"&amp;"EPES"",IF(REGEXMATCH(UPPER(P203),""HISTIDINE""),""Histidine"",IF(REGEXMATCH(UPPER(P203),""SUCCINATE""),""Succinate"",IF(REGEXMATCH(UPPER(P203),""GLYCINE""),""Glycine"",P203)))))))))"),"Citrate")</f>
        <v>Citrate</v>
      </c>
      <c r="R203" s="25"/>
      <c r="S203" s="26">
        <v>10</v>
      </c>
      <c r="T203" s="114"/>
      <c r="U203" s="114"/>
      <c r="V203" s="23" t="s">
        <v>470</v>
      </c>
      <c r="W203" s="75" t="s">
        <v>725</v>
      </c>
      <c r="X203" s="75" t="s">
        <v>744</v>
      </c>
      <c r="Y203" s="75" t="s">
        <v>745</v>
      </c>
      <c r="Z203" s="109" t="s">
        <v>746</v>
      </c>
      <c r="AA203" s="109"/>
      <c r="AB203" s="90" t="s">
        <v>475</v>
      </c>
    </row>
    <row r="204" spans="1:28" ht="15.75" customHeight="1">
      <c r="A204" s="85">
        <v>201</v>
      </c>
      <c r="B204" s="85" t="s">
        <v>401</v>
      </c>
      <c r="C204" s="106" t="s">
        <v>402</v>
      </c>
      <c r="D204" s="81"/>
      <c r="E204" s="117" t="s">
        <v>499</v>
      </c>
      <c r="F204" s="64">
        <v>35</v>
      </c>
      <c r="G204" s="116" t="s">
        <v>49</v>
      </c>
      <c r="H204" s="64">
        <v>16</v>
      </c>
      <c r="I204" s="64" t="s">
        <v>739</v>
      </c>
      <c r="J204" s="111" t="s">
        <v>51</v>
      </c>
      <c r="K204" s="65">
        <v>46144</v>
      </c>
      <c r="L204" s="64">
        <v>10</v>
      </c>
      <c r="M204" s="64" t="s">
        <v>60</v>
      </c>
      <c r="N204" s="64"/>
      <c r="O204" s="101">
        <v>10</v>
      </c>
      <c r="P204" s="114" t="s">
        <v>323</v>
      </c>
      <c r="Q204" s="21" t="str">
        <f ca="1">IFERROR(__xludf.DUMMYFUNCTION("IF(P204="""","""",IF(REGEXMATCH(UPPER(P204),""CITRATE""),""Citrate"",IF(REGEXMATCH(UPPER(P204),""ACETATE""),""Sodium Acetate"",IF(REGEXMATCH(UPPER(P204),""PBS""),""PBS"",IF(REGEXMATCH(UPPER(P204),""TRIS""),""Tris"",IF(REGEXMATCH(UPPER(P204),""HEPES""),""H"&amp;"EPES"",IF(REGEXMATCH(UPPER(P204),""HISTIDINE""),""Histidine"",IF(REGEXMATCH(UPPER(P204),""SUCCINATE""),""Succinate"",IF(REGEXMATCH(UPPER(P204),""GLYCINE""),""Glycine"",P204)))))))))"),"Citrate")</f>
        <v>Citrate</v>
      </c>
      <c r="R204" s="25"/>
      <c r="S204" s="26">
        <v>10</v>
      </c>
      <c r="T204" s="114"/>
      <c r="U204" s="114"/>
      <c r="V204" s="23" t="s">
        <v>470</v>
      </c>
      <c r="W204" s="75" t="s">
        <v>657</v>
      </c>
      <c r="X204" s="75" t="s">
        <v>611</v>
      </c>
      <c r="Y204" s="75" t="s">
        <v>747</v>
      </c>
      <c r="Z204" s="109" t="s">
        <v>748</v>
      </c>
      <c r="AA204" s="109"/>
      <c r="AB204" s="90" t="s">
        <v>475</v>
      </c>
    </row>
    <row r="205" spans="1:28" ht="15.75" customHeight="1">
      <c r="A205" s="85">
        <v>202</v>
      </c>
      <c r="B205" s="85" t="s">
        <v>401</v>
      </c>
      <c r="C205" s="106" t="s">
        <v>402</v>
      </c>
      <c r="D205" s="81"/>
      <c r="E205" s="117" t="s">
        <v>502</v>
      </c>
      <c r="F205" s="64">
        <v>35</v>
      </c>
      <c r="G205" s="116" t="s">
        <v>49</v>
      </c>
      <c r="H205" s="64">
        <v>16</v>
      </c>
      <c r="I205" s="64" t="s">
        <v>739</v>
      </c>
      <c r="J205" s="111" t="s">
        <v>51</v>
      </c>
      <c r="K205" s="65">
        <v>46144</v>
      </c>
      <c r="L205" s="64">
        <v>10</v>
      </c>
      <c r="M205" s="64" t="s">
        <v>60</v>
      </c>
      <c r="N205" s="64"/>
      <c r="O205" s="101">
        <v>10</v>
      </c>
      <c r="P205" s="114" t="s">
        <v>323</v>
      </c>
      <c r="Q205" s="21" t="str">
        <f ca="1">IFERROR(__xludf.DUMMYFUNCTION("IF(P205="""","""",IF(REGEXMATCH(UPPER(P205),""CITRATE""),""Citrate"",IF(REGEXMATCH(UPPER(P205),""ACETATE""),""Sodium Acetate"",IF(REGEXMATCH(UPPER(P205),""PBS""),""PBS"",IF(REGEXMATCH(UPPER(P205),""TRIS""),""Tris"",IF(REGEXMATCH(UPPER(P205),""HEPES""),""H"&amp;"EPES"",IF(REGEXMATCH(UPPER(P205),""HISTIDINE""),""Histidine"",IF(REGEXMATCH(UPPER(P205),""SUCCINATE""),""Succinate"",IF(REGEXMATCH(UPPER(P205),""GLYCINE""),""Glycine"",P205)))))))))"),"Citrate")</f>
        <v>Citrate</v>
      </c>
      <c r="R205" s="25"/>
      <c r="S205" s="26">
        <v>10</v>
      </c>
      <c r="T205" s="114"/>
      <c r="U205" s="114"/>
      <c r="V205" s="23" t="s">
        <v>470</v>
      </c>
      <c r="W205" s="75" t="s">
        <v>749</v>
      </c>
      <c r="X205" s="75" t="s">
        <v>750</v>
      </c>
      <c r="Y205" s="75" t="s">
        <v>751</v>
      </c>
      <c r="Z205" s="109" t="s">
        <v>752</v>
      </c>
      <c r="AA205" s="109"/>
      <c r="AB205" s="90" t="s">
        <v>475</v>
      </c>
    </row>
    <row r="206" spans="1:28" ht="15.75" customHeight="1">
      <c r="A206" s="85">
        <v>203</v>
      </c>
      <c r="B206" s="85" t="s">
        <v>401</v>
      </c>
      <c r="C206" s="106" t="s">
        <v>402</v>
      </c>
      <c r="D206" s="81"/>
      <c r="E206" s="117" t="s">
        <v>507</v>
      </c>
      <c r="F206" s="64">
        <v>35</v>
      </c>
      <c r="G206" s="116" t="s">
        <v>49</v>
      </c>
      <c r="H206" s="64">
        <v>16</v>
      </c>
      <c r="I206" s="64" t="s">
        <v>739</v>
      </c>
      <c r="J206" s="111" t="s">
        <v>51</v>
      </c>
      <c r="K206" s="65">
        <v>46144</v>
      </c>
      <c r="L206" s="64">
        <v>10</v>
      </c>
      <c r="M206" s="64" t="s">
        <v>60</v>
      </c>
      <c r="N206" s="64"/>
      <c r="O206" s="101">
        <v>10</v>
      </c>
      <c r="P206" s="114" t="s">
        <v>323</v>
      </c>
      <c r="Q206" s="21" t="str">
        <f ca="1">IFERROR(__xludf.DUMMYFUNCTION("IF(P206="""","""",IF(REGEXMATCH(UPPER(P206),""CITRATE""),""Citrate"",IF(REGEXMATCH(UPPER(P206),""ACETATE""),""Sodium Acetate"",IF(REGEXMATCH(UPPER(P206),""PBS""),""PBS"",IF(REGEXMATCH(UPPER(P206),""TRIS""),""Tris"",IF(REGEXMATCH(UPPER(P206),""HEPES""),""H"&amp;"EPES"",IF(REGEXMATCH(UPPER(P206),""HISTIDINE""),""Histidine"",IF(REGEXMATCH(UPPER(P206),""SUCCINATE""),""Succinate"",IF(REGEXMATCH(UPPER(P206),""GLYCINE""),""Glycine"",P206)))))))))"),"Citrate")</f>
        <v>Citrate</v>
      </c>
      <c r="R206" s="25"/>
      <c r="S206" s="26">
        <v>10</v>
      </c>
      <c r="T206" s="114"/>
      <c r="U206" s="114"/>
      <c r="V206" s="23" t="s">
        <v>470</v>
      </c>
      <c r="W206" s="75" t="s">
        <v>753</v>
      </c>
      <c r="X206" s="75" t="s">
        <v>669</v>
      </c>
      <c r="Y206" s="75" t="s">
        <v>754</v>
      </c>
      <c r="Z206" s="109" t="s">
        <v>755</v>
      </c>
      <c r="AA206" s="109"/>
      <c r="AB206" s="90" t="s">
        <v>475</v>
      </c>
    </row>
    <row r="207" spans="1:28" ht="15.75" customHeight="1">
      <c r="A207" s="85">
        <v>204</v>
      </c>
      <c r="B207" s="85" t="s">
        <v>401</v>
      </c>
      <c r="C207" s="106" t="s">
        <v>402</v>
      </c>
      <c r="D207" s="81"/>
      <c r="E207" s="117" t="s">
        <v>511</v>
      </c>
      <c r="F207" s="64">
        <v>35</v>
      </c>
      <c r="G207" s="116" t="s">
        <v>49</v>
      </c>
      <c r="H207" s="64">
        <v>16</v>
      </c>
      <c r="I207" s="64" t="s">
        <v>739</v>
      </c>
      <c r="J207" s="111" t="s">
        <v>51</v>
      </c>
      <c r="K207" s="65">
        <v>46144</v>
      </c>
      <c r="L207" s="64">
        <v>10</v>
      </c>
      <c r="M207" s="64" t="s">
        <v>60</v>
      </c>
      <c r="N207" s="64"/>
      <c r="O207" s="101">
        <v>10</v>
      </c>
      <c r="P207" s="114" t="s">
        <v>323</v>
      </c>
      <c r="Q207" s="21" t="str">
        <f ca="1">IFERROR(__xludf.DUMMYFUNCTION("IF(P207="""","""",IF(REGEXMATCH(UPPER(P207),""CITRATE""),""Citrate"",IF(REGEXMATCH(UPPER(P207),""ACETATE""),""Sodium Acetate"",IF(REGEXMATCH(UPPER(P207),""PBS""),""PBS"",IF(REGEXMATCH(UPPER(P207),""TRIS""),""Tris"",IF(REGEXMATCH(UPPER(P207),""HEPES""),""H"&amp;"EPES"",IF(REGEXMATCH(UPPER(P207),""HISTIDINE""),""Histidine"",IF(REGEXMATCH(UPPER(P207),""SUCCINATE""),""Succinate"",IF(REGEXMATCH(UPPER(P207),""GLYCINE""),""Glycine"",P207)))))))))"),"Citrate")</f>
        <v>Citrate</v>
      </c>
      <c r="R207" s="25"/>
      <c r="S207" s="26">
        <v>10</v>
      </c>
      <c r="T207" s="114"/>
      <c r="U207" s="114"/>
      <c r="V207" s="23" t="s">
        <v>470</v>
      </c>
      <c r="W207" s="75" t="s">
        <v>534</v>
      </c>
      <c r="X207" s="75" t="s">
        <v>756</v>
      </c>
      <c r="Y207" s="75" t="s">
        <v>757</v>
      </c>
      <c r="Z207" s="109" t="s">
        <v>758</v>
      </c>
      <c r="AA207" s="109"/>
      <c r="AB207" s="90" t="s">
        <v>475</v>
      </c>
    </row>
    <row r="208" spans="1:28" ht="15.75" customHeight="1">
      <c r="A208" s="85">
        <v>205</v>
      </c>
      <c r="B208" s="85" t="s">
        <v>401</v>
      </c>
      <c r="C208" s="106" t="s">
        <v>402</v>
      </c>
      <c r="D208" s="81"/>
      <c r="E208" s="117" t="s">
        <v>411</v>
      </c>
      <c r="F208" s="64">
        <v>35</v>
      </c>
      <c r="G208" s="116" t="s">
        <v>49</v>
      </c>
      <c r="H208" s="64">
        <v>16</v>
      </c>
      <c r="I208" s="64" t="s">
        <v>739</v>
      </c>
      <c r="J208" s="111" t="s">
        <v>51</v>
      </c>
      <c r="K208" s="65">
        <v>46144</v>
      </c>
      <c r="L208" s="64">
        <v>10</v>
      </c>
      <c r="M208" s="64" t="s">
        <v>60</v>
      </c>
      <c r="N208" s="64"/>
      <c r="O208" s="101">
        <v>10</v>
      </c>
      <c r="P208" s="114" t="s">
        <v>323</v>
      </c>
      <c r="Q208" s="21" t="str">
        <f ca="1">IFERROR(__xludf.DUMMYFUNCTION("IF(P208="""","""",IF(REGEXMATCH(UPPER(P208),""CITRATE""),""Citrate"",IF(REGEXMATCH(UPPER(P208),""ACETATE""),""Sodium Acetate"",IF(REGEXMATCH(UPPER(P208),""PBS""),""PBS"",IF(REGEXMATCH(UPPER(P208),""TRIS""),""Tris"",IF(REGEXMATCH(UPPER(P208),""HEPES""),""H"&amp;"EPES"",IF(REGEXMATCH(UPPER(P208),""HISTIDINE""),""Histidine"",IF(REGEXMATCH(UPPER(P208),""SUCCINATE""),""Succinate"",IF(REGEXMATCH(UPPER(P208),""GLYCINE""),""Glycine"",P208)))))))))"),"Citrate")</f>
        <v>Citrate</v>
      </c>
      <c r="R208" s="25"/>
      <c r="S208" s="26">
        <v>10</v>
      </c>
      <c r="T208" s="114"/>
      <c r="U208" s="114"/>
      <c r="V208" s="23" t="s">
        <v>470</v>
      </c>
      <c r="W208" s="75" t="s">
        <v>759</v>
      </c>
      <c r="X208" s="75" t="s">
        <v>618</v>
      </c>
      <c r="Y208" s="75" t="s">
        <v>760</v>
      </c>
      <c r="Z208" s="109" t="s">
        <v>761</v>
      </c>
      <c r="AA208" s="109"/>
      <c r="AB208" s="90" t="s">
        <v>475</v>
      </c>
    </row>
    <row r="209" spans="1:28" ht="15.75" customHeight="1">
      <c r="A209" s="85">
        <v>206</v>
      </c>
      <c r="B209" s="85" t="s">
        <v>401</v>
      </c>
      <c r="C209" s="106" t="s">
        <v>402</v>
      </c>
      <c r="D209" s="81"/>
      <c r="E209" s="117" t="s">
        <v>538</v>
      </c>
      <c r="F209" s="64">
        <v>35</v>
      </c>
      <c r="G209" s="116" t="s">
        <v>49</v>
      </c>
      <c r="H209" s="64">
        <v>16</v>
      </c>
      <c r="I209" s="64" t="s">
        <v>739</v>
      </c>
      <c r="J209" s="111" t="s">
        <v>51</v>
      </c>
      <c r="K209" s="65">
        <v>46144</v>
      </c>
      <c r="L209" s="64">
        <v>10</v>
      </c>
      <c r="M209" s="64" t="s">
        <v>60</v>
      </c>
      <c r="N209" s="64"/>
      <c r="O209" s="101">
        <v>10</v>
      </c>
      <c r="P209" s="114" t="s">
        <v>323</v>
      </c>
      <c r="Q209" s="21" t="str">
        <f ca="1">IFERROR(__xludf.DUMMYFUNCTION("IF(P209="""","""",IF(REGEXMATCH(UPPER(P209),""CITRATE""),""Citrate"",IF(REGEXMATCH(UPPER(P209),""ACETATE""),""Sodium Acetate"",IF(REGEXMATCH(UPPER(P209),""PBS""),""PBS"",IF(REGEXMATCH(UPPER(P209),""TRIS""),""Tris"",IF(REGEXMATCH(UPPER(P209),""HEPES""),""H"&amp;"EPES"",IF(REGEXMATCH(UPPER(P209),""HISTIDINE""),""Histidine"",IF(REGEXMATCH(UPPER(P209),""SUCCINATE""),""Succinate"",IF(REGEXMATCH(UPPER(P209),""GLYCINE""),""Glycine"",P209)))))))))"),"Citrate")</f>
        <v>Citrate</v>
      </c>
      <c r="R209" s="25"/>
      <c r="S209" s="26">
        <v>10</v>
      </c>
      <c r="T209" s="114"/>
      <c r="U209" s="114"/>
      <c r="V209" s="23" t="s">
        <v>470</v>
      </c>
      <c r="W209" s="75" t="s">
        <v>762</v>
      </c>
      <c r="X209" s="75" t="s">
        <v>513</v>
      </c>
      <c r="Y209" s="75" t="s">
        <v>763</v>
      </c>
      <c r="Z209" s="109" t="s">
        <v>764</v>
      </c>
      <c r="AA209" s="109"/>
      <c r="AB209" s="90" t="s">
        <v>475</v>
      </c>
    </row>
    <row r="210" spans="1:28" ht="15.75" customHeight="1">
      <c r="A210" s="85">
        <v>207</v>
      </c>
      <c r="B210" s="85" t="s">
        <v>401</v>
      </c>
      <c r="C210" s="106" t="s">
        <v>402</v>
      </c>
      <c r="D210" s="81"/>
      <c r="E210" s="117" t="s">
        <v>542</v>
      </c>
      <c r="F210" s="64">
        <v>35</v>
      </c>
      <c r="G210" s="116" t="s">
        <v>49</v>
      </c>
      <c r="H210" s="64">
        <v>16</v>
      </c>
      <c r="I210" s="64" t="s">
        <v>739</v>
      </c>
      <c r="J210" s="111" t="s">
        <v>51</v>
      </c>
      <c r="K210" s="65">
        <v>46144</v>
      </c>
      <c r="L210" s="64">
        <v>10</v>
      </c>
      <c r="M210" s="64" t="s">
        <v>60</v>
      </c>
      <c r="N210" s="64"/>
      <c r="O210" s="101">
        <v>10</v>
      </c>
      <c r="P210" s="114" t="s">
        <v>323</v>
      </c>
      <c r="Q210" s="21" t="str">
        <f ca="1">IFERROR(__xludf.DUMMYFUNCTION("IF(P210="""","""",IF(REGEXMATCH(UPPER(P210),""CITRATE""),""Citrate"",IF(REGEXMATCH(UPPER(P210),""ACETATE""),""Sodium Acetate"",IF(REGEXMATCH(UPPER(P210),""PBS""),""PBS"",IF(REGEXMATCH(UPPER(P210),""TRIS""),""Tris"",IF(REGEXMATCH(UPPER(P210),""HEPES""),""H"&amp;"EPES"",IF(REGEXMATCH(UPPER(P210),""HISTIDINE""),""Histidine"",IF(REGEXMATCH(UPPER(P210),""SUCCINATE""),""Succinate"",IF(REGEXMATCH(UPPER(P210),""GLYCINE""),""Glycine"",P210)))))))))"),"Citrate")</f>
        <v>Citrate</v>
      </c>
      <c r="R210" s="25"/>
      <c r="S210" s="26">
        <v>10</v>
      </c>
      <c r="T210" s="114"/>
      <c r="U210" s="114"/>
      <c r="V210" s="23" t="s">
        <v>470</v>
      </c>
      <c r="W210" s="75" t="s">
        <v>765</v>
      </c>
      <c r="X210" s="75" t="s">
        <v>756</v>
      </c>
      <c r="Y210" s="75" t="s">
        <v>766</v>
      </c>
      <c r="Z210" s="109" t="s">
        <v>356</v>
      </c>
      <c r="AA210" s="109"/>
      <c r="AB210" s="90" t="s">
        <v>475</v>
      </c>
    </row>
    <row r="211" spans="1:28" ht="15.75" customHeight="1">
      <c r="A211" s="85">
        <v>208</v>
      </c>
      <c r="B211" s="85" t="s">
        <v>401</v>
      </c>
      <c r="C211" s="106" t="s">
        <v>402</v>
      </c>
      <c r="D211" s="81"/>
      <c r="E211" s="117" t="s">
        <v>547</v>
      </c>
      <c r="F211" s="64">
        <v>35</v>
      </c>
      <c r="G211" s="116" t="s">
        <v>49</v>
      </c>
      <c r="H211" s="64">
        <v>16</v>
      </c>
      <c r="I211" s="64" t="s">
        <v>739</v>
      </c>
      <c r="J211" s="111" t="s">
        <v>51</v>
      </c>
      <c r="K211" s="65">
        <v>46144</v>
      </c>
      <c r="L211" s="64">
        <v>10</v>
      </c>
      <c r="M211" s="64" t="s">
        <v>60</v>
      </c>
      <c r="N211" s="64"/>
      <c r="O211" s="101">
        <v>10</v>
      </c>
      <c r="P211" s="114" t="s">
        <v>323</v>
      </c>
      <c r="Q211" s="21" t="str">
        <f ca="1">IFERROR(__xludf.DUMMYFUNCTION("IF(P211="""","""",IF(REGEXMATCH(UPPER(P211),""CITRATE""),""Citrate"",IF(REGEXMATCH(UPPER(P211),""ACETATE""),""Sodium Acetate"",IF(REGEXMATCH(UPPER(P211),""PBS""),""PBS"",IF(REGEXMATCH(UPPER(P211),""TRIS""),""Tris"",IF(REGEXMATCH(UPPER(P211),""HEPES""),""H"&amp;"EPES"",IF(REGEXMATCH(UPPER(P211),""HISTIDINE""),""Histidine"",IF(REGEXMATCH(UPPER(P211),""SUCCINATE""),""Succinate"",IF(REGEXMATCH(UPPER(P211),""GLYCINE""),""Glycine"",P211)))))))))"),"Citrate")</f>
        <v>Citrate</v>
      </c>
      <c r="R211" s="25"/>
      <c r="S211" s="26">
        <v>10</v>
      </c>
      <c r="T211" s="114"/>
      <c r="U211" s="114"/>
      <c r="V211" s="23" t="s">
        <v>470</v>
      </c>
      <c r="W211" s="75" t="s">
        <v>767</v>
      </c>
      <c r="X211" s="75" t="s">
        <v>708</v>
      </c>
      <c r="Y211" s="75" t="s">
        <v>768</v>
      </c>
      <c r="Z211" s="109" t="s">
        <v>769</v>
      </c>
      <c r="AA211" s="109"/>
      <c r="AB211" s="90" t="s">
        <v>475</v>
      </c>
    </row>
    <row r="212" spans="1:28" ht="15.75" customHeight="1">
      <c r="A212" s="85">
        <v>209</v>
      </c>
      <c r="B212" s="85" t="s">
        <v>401</v>
      </c>
      <c r="C212" s="106" t="s">
        <v>402</v>
      </c>
      <c r="D212" s="81"/>
      <c r="E212" s="117" t="s">
        <v>569</v>
      </c>
      <c r="F212" s="64">
        <v>35</v>
      </c>
      <c r="G212" s="116" t="s">
        <v>49</v>
      </c>
      <c r="H212" s="64">
        <v>16</v>
      </c>
      <c r="I212" s="64" t="s">
        <v>739</v>
      </c>
      <c r="J212" s="111" t="s">
        <v>51</v>
      </c>
      <c r="K212" s="65">
        <v>46144</v>
      </c>
      <c r="L212" s="64">
        <v>10</v>
      </c>
      <c r="M212" s="64" t="s">
        <v>60</v>
      </c>
      <c r="N212" s="64"/>
      <c r="O212" s="101">
        <v>10</v>
      </c>
      <c r="P212" s="114" t="s">
        <v>323</v>
      </c>
      <c r="Q212" s="21" t="str">
        <f ca="1">IFERROR(__xludf.DUMMYFUNCTION("IF(P212="""","""",IF(REGEXMATCH(UPPER(P212),""CITRATE""),""Citrate"",IF(REGEXMATCH(UPPER(P212),""ACETATE""),""Sodium Acetate"",IF(REGEXMATCH(UPPER(P212),""PBS""),""PBS"",IF(REGEXMATCH(UPPER(P212),""TRIS""),""Tris"",IF(REGEXMATCH(UPPER(P212),""HEPES""),""H"&amp;"EPES"",IF(REGEXMATCH(UPPER(P212),""HISTIDINE""),""Histidine"",IF(REGEXMATCH(UPPER(P212),""SUCCINATE""),""Succinate"",IF(REGEXMATCH(UPPER(P212),""GLYCINE""),""Glycine"",P212)))))))))"),"Citrate")</f>
        <v>Citrate</v>
      </c>
      <c r="R212" s="25"/>
      <c r="S212" s="26">
        <v>10</v>
      </c>
      <c r="T212" s="114"/>
      <c r="U212" s="114"/>
      <c r="V212" s="23" t="s">
        <v>470</v>
      </c>
      <c r="W212" s="75" t="s">
        <v>770</v>
      </c>
      <c r="X212" s="75" t="s">
        <v>771</v>
      </c>
      <c r="Y212" s="75" t="s">
        <v>772</v>
      </c>
      <c r="Z212" s="109" t="s">
        <v>773</v>
      </c>
      <c r="AA212" s="109"/>
      <c r="AB212" s="90" t="s">
        <v>475</v>
      </c>
    </row>
    <row r="213" spans="1:28" ht="15.75" customHeight="1">
      <c r="A213" s="85">
        <v>210</v>
      </c>
      <c r="B213" s="85" t="s">
        <v>401</v>
      </c>
      <c r="C213" s="106" t="s">
        <v>402</v>
      </c>
      <c r="D213" s="81"/>
      <c r="E213" s="117" t="s">
        <v>574</v>
      </c>
      <c r="F213" s="64">
        <v>35</v>
      </c>
      <c r="G213" s="116" t="s">
        <v>49</v>
      </c>
      <c r="H213" s="64">
        <v>16</v>
      </c>
      <c r="I213" s="64" t="s">
        <v>739</v>
      </c>
      <c r="J213" s="111" t="s">
        <v>51</v>
      </c>
      <c r="K213" s="65">
        <v>46144</v>
      </c>
      <c r="L213" s="64">
        <v>10</v>
      </c>
      <c r="M213" s="64" t="s">
        <v>60</v>
      </c>
      <c r="N213" s="64"/>
      <c r="O213" s="101">
        <v>10</v>
      </c>
      <c r="P213" s="114" t="s">
        <v>323</v>
      </c>
      <c r="Q213" s="21" t="str">
        <f ca="1">IFERROR(__xludf.DUMMYFUNCTION("IF(P213="""","""",IF(REGEXMATCH(UPPER(P213),""CITRATE""),""Citrate"",IF(REGEXMATCH(UPPER(P213),""ACETATE""),""Sodium Acetate"",IF(REGEXMATCH(UPPER(P213),""PBS""),""PBS"",IF(REGEXMATCH(UPPER(P213),""TRIS""),""Tris"",IF(REGEXMATCH(UPPER(P213),""HEPES""),""H"&amp;"EPES"",IF(REGEXMATCH(UPPER(P213),""HISTIDINE""),""Histidine"",IF(REGEXMATCH(UPPER(P213),""SUCCINATE""),""Succinate"",IF(REGEXMATCH(UPPER(P213),""GLYCINE""),""Glycine"",P213)))))))))"),"Citrate")</f>
        <v>Citrate</v>
      </c>
      <c r="R213" s="25"/>
      <c r="S213" s="26">
        <v>10</v>
      </c>
      <c r="T213" s="114"/>
      <c r="U213" s="114"/>
      <c r="V213" s="23" t="s">
        <v>470</v>
      </c>
      <c r="W213" s="75" t="s">
        <v>774</v>
      </c>
      <c r="X213" s="75" t="s">
        <v>708</v>
      </c>
      <c r="Y213" s="75" t="s">
        <v>775</v>
      </c>
      <c r="Z213" s="109" t="s">
        <v>776</v>
      </c>
      <c r="AA213" s="109"/>
      <c r="AB213" s="90" t="s">
        <v>475</v>
      </c>
    </row>
    <row r="214" spans="1:28" ht="15.75" customHeight="1">
      <c r="A214" s="85">
        <v>211</v>
      </c>
      <c r="B214" s="85" t="s">
        <v>401</v>
      </c>
      <c r="C214" s="106" t="s">
        <v>402</v>
      </c>
      <c r="D214" s="81"/>
      <c r="E214" s="117" t="s">
        <v>469</v>
      </c>
      <c r="F214" s="64">
        <v>35</v>
      </c>
      <c r="G214" s="116" t="s">
        <v>49</v>
      </c>
      <c r="H214" s="64">
        <v>16</v>
      </c>
      <c r="I214" s="64" t="s">
        <v>372</v>
      </c>
      <c r="J214" s="111" t="s">
        <v>51</v>
      </c>
      <c r="K214" s="64">
        <v>5</v>
      </c>
      <c r="L214" s="64">
        <v>10</v>
      </c>
      <c r="M214" s="64" t="s">
        <v>60</v>
      </c>
      <c r="N214" s="64"/>
      <c r="O214" s="101">
        <v>10</v>
      </c>
      <c r="P214" s="114" t="s">
        <v>323</v>
      </c>
      <c r="Q214" s="21" t="str">
        <f ca="1">IFERROR(__xludf.DUMMYFUNCTION("IF(P214="""","""",IF(REGEXMATCH(UPPER(P214),""CITRATE""),""Citrate"",IF(REGEXMATCH(UPPER(P214),""ACETATE""),""Sodium Acetate"",IF(REGEXMATCH(UPPER(P214),""PBS""),""PBS"",IF(REGEXMATCH(UPPER(P214),""TRIS""),""Tris"",IF(REGEXMATCH(UPPER(P214),""HEPES""),""H"&amp;"EPES"",IF(REGEXMATCH(UPPER(P214),""HISTIDINE""),""Histidine"",IF(REGEXMATCH(UPPER(P214),""SUCCINATE""),""Succinate"",IF(REGEXMATCH(UPPER(P214),""GLYCINE""),""Glycine"",P214)))))))))"),"Citrate")</f>
        <v>Citrate</v>
      </c>
      <c r="R214" s="25"/>
      <c r="S214" s="26">
        <v>10</v>
      </c>
      <c r="T214" s="114"/>
      <c r="U214" s="114"/>
      <c r="V214" s="23" t="s">
        <v>470</v>
      </c>
      <c r="W214" s="75" t="s">
        <v>777</v>
      </c>
      <c r="X214" s="75" t="s">
        <v>312</v>
      </c>
      <c r="Y214" s="75" t="s">
        <v>778</v>
      </c>
      <c r="Z214" s="109" t="s">
        <v>779</v>
      </c>
      <c r="AA214" s="109"/>
      <c r="AB214" s="90" t="s">
        <v>475</v>
      </c>
    </row>
    <row r="215" spans="1:28" ht="15.75" customHeight="1">
      <c r="A215" s="85">
        <v>212</v>
      </c>
      <c r="B215" s="85" t="s">
        <v>401</v>
      </c>
      <c r="C215" s="106" t="s">
        <v>402</v>
      </c>
      <c r="D215" s="81"/>
      <c r="E215" s="117" t="s">
        <v>476</v>
      </c>
      <c r="F215" s="64">
        <v>35</v>
      </c>
      <c r="G215" s="116" t="s">
        <v>49</v>
      </c>
      <c r="H215" s="64">
        <v>16</v>
      </c>
      <c r="I215" s="64" t="s">
        <v>372</v>
      </c>
      <c r="J215" s="111" t="s">
        <v>51</v>
      </c>
      <c r="K215" s="64">
        <v>5</v>
      </c>
      <c r="L215" s="64">
        <v>10</v>
      </c>
      <c r="M215" s="64" t="s">
        <v>60</v>
      </c>
      <c r="N215" s="64"/>
      <c r="O215" s="101">
        <v>10</v>
      </c>
      <c r="P215" s="114" t="s">
        <v>323</v>
      </c>
      <c r="Q215" s="21" t="str">
        <f ca="1">IFERROR(__xludf.DUMMYFUNCTION("IF(P215="""","""",IF(REGEXMATCH(UPPER(P215),""CITRATE""),""Citrate"",IF(REGEXMATCH(UPPER(P215),""ACETATE""),""Sodium Acetate"",IF(REGEXMATCH(UPPER(P215),""PBS""),""PBS"",IF(REGEXMATCH(UPPER(P215),""TRIS""),""Tris"",IF(REGEXMATCH(UPPER(P215),""HEPES""),""H"&amp;"EPES"",IF(REGEXMATCH(UPPER(P215),""HISTIDINE""),""Histidine"",IF(REGEXMATCH(UPPER(P215),""SUCCINATE""),""Succinate"",IF(REGEXMATCH(UPPER(P215),""GLYCINE""),""Glycine"",P215)))))))))"),"Citrate")</f>
        <v>Citrate</v>
      </c>
      <c r="R215" s="25"/>
      <c r="S215" s="26">
        <v>10</v>
      </c>
      <c r="T215" s="114"/>
      <c r="U215" s="114"/>
      <c r="V215" s="23" t="s">
        <v>470</v>
      </c>
      <c r="W215" s="75" t="s">
        <v>780</v>
      </c>
      <c r="X215" s="75" t="s">
        <v>781</v>
      </c>
      <c r="Y215" s="75" t="s">
        <v>277</v>
      </c>
      <c r="Z215" s="109" t="s">
        <v>782</v>
      </c>
      <c r="AA215" s="109"/>
      <c r="AB215" s="90" t="s">
        <v>475</v>
      </c>
    </row>
    <row r="216" spans="1:28" ht="15.75" customHeight="1">
      <c r="A216" s="85">
        <v>213</v>
      </c>
      <c r="B216" s="85" t="s">
        <v>401</v>
      </c>
      <c r="C216" s="106" t="s">
        <v>402</v>
      </c>
      <c r="D216" s="81"/>
      <c r="E216" s="117" t="s">
        <v>499</v>
      </c>
      <c r="F216" s="64">
        <v>35</v>
      </c>
      <c r="G216" s="116" t="s">
        <v>49</v>
      </c>
      <c r="H216" s="64">
        <v>16</v>
      </c>
      <c r="I216" s="64" t="s">
        <v>372</v>
      </c>
      <c r="J216" s="111" t="s">
        <v>51</v>
      </c>
      <c r="K216" s="64">
        <v>5</v>
      </c>
      <c r="L216" s="64">
        <v>10</v>
      </c>
      <c r="M216" s="64" t="s">
        <v>60</v>
      </c>
      <c r="N216" s="64"/>
      <c r="O216" s="101">
        <v>10</v>
      </c>
      <c r="P216" s="114" t="s">
        <v>323</v>
      </c>
      <c r="Q216" s="21" t="str">
        <f ca="1">IFERROR(__xludf.DUMMYFUNCTION("IF(P216="""","""",IF(REGEXMATCH(UPPER(P216),""CITRATE""),""Citrate"",IF(REGEXMATCH(UPPER(P216),""ACETATE""),""Sodium Acetate"",IF(REGEXMATCH(UPPER(P216),""PBS""),""PBS"",IF(REGEXMATCH(UPPER(P216),""TRIS""),""Tris"",IF(REGEXMATCH(UPPER(P216),""HEPES""),""H"&amp;"EPES"",IF(REGEXMATCH(UPPER(P216),""HISTIDINE""),""Histidine"",IF(REGEXMATCH(UPPER(P216),""SUCCINATE""),""Succinate"",IF(REGEXMATCH(UPPER(P216),""GLYCINE""),""Glycine"",P216)))))))))"),"Citrate")</f>
        <v>Citrate</v>
      </c>
      <c r="R216" s="25"/>
      <c r="S216" s="26">
        <v>10</v>
      </c>
      <c r="T216" s="114"/>
      <c r="U216" s="114"/>
      <c r="V216" s="23" t="s">
        <v>470</v>
      </c>
      <c r="W216" s="75" t="s">
        <v>783</v>
      </c>
      <c r="X216" s="75" t="s">
        <v>784</v>
      </c>
      <c r="Y216" s="75" t="s">
        <v>785</v>
      </c>
      <c r="Z216" s="109" t="s">
        <v>480</v>
      </c>
      <c r="AA216" s="109"/>
      <c r="AB216" s="90" t="s">
        <v>475</v>
      </c>
    </row>
    <row r="217" spans="1:28" ht="15.75" customHeight="1">
      <c r="A217" s="85">
        <v>214</v>
      </c>
      <c r="B217" s="85" t="s">
        <v>401</v>
      </c>
      <c r="C217" s="106" t="s">
        <v>402</v>
      </c>
      <c r="D217" s="81"/>
      <c r="E217" s="117" t="s">
        <v>502</v>
      </c>
      <c r="F217" s="64">
        <v>35</v>
      </c>
      <c r="G217" s="116" t="s">
        <v>49</v>
      </c>
      <c r="H217" s="64">
        <v>16</v>
      </c>
      <c r="I217" s="64" t="s">
        <v>372</v>
      </c>
      <c r="J217" s="111" t="s">
        <v>51</v>
      </c>
      <c r="K217" s="64">
        <v>5</v>
      </c>
      <c r="L217" s="64">
        <v>10</v>
      </c>
      <c r="M217" s="64" t="s">
        <v>60</v>
      </c>
      <c r="N217" s="64"/>
      <c r="O217" s="101">
        <v>10</v>
      </c>
      <c r="P217" s="114" t="s">
        <v>323</v>
      </c>
      <c r="Q217" s="21" t="str">
        <f ca="1">IFERROR(__xludf.DUMMYFUNCTION("IF(P217="""","""",IF(REGEXMATCH(UPPER(P217),""CITRATE""),""Citrate"",IF(REGEXMATCH(UPPER(P217),""ACETATE""),""Sodium Acetate"",IF(REGEXMATCH(UPPER(P217),""PBS""),""PBS"",IF(REGEXMATCH(UPPER(P217),""TRIS""),""Tris"",IF(REGEXMATCH(UPPER(P217),""HEPES""),""H"&amp;"EPES"",IF(REGEXMATCH(UPPER(P217),""HISTIDINE""),""Histidine"",IF(REGEXMATCH(UPPER(P217),""SUCCINATE""),""Succinate"",IF(REGEXMATCH(UPPER(P217),""GLYCINE""),""Glycine"",P217)))))))))"),"Citrate")</f>
        <v>Citrate</v>
      </c>
      <c r="R217" s="25"/>
      <c r="S217" s="26">
        <v>10</v>
      </c>
      <c r="T217" s="114"/>
      <c r="U217" s="114"/>
      <c r="V217" s="23" t="s">
        <v>470</v>
      </c>
      <c r="W217" s="75" t="s">
        <v>786</v>
      </c>
      <c r="X217" s="75" t="s">
        <v>787</v>
      </c>
      <c r="Y217" s="75" t="s">
        <v>788</v>
      </c>
      <c r="Z217" s="109" t="s">
        <v>789</v>
      </c>
      <c r="AA217" s="109"/>
      <c r="AB217" s="90" t="s">
        <v>475</v>
      </c>
    </row>
    <row r="218" spans="1:28" ht="15.75" customHeight="1">
      <c r="A218" s="85">
        <v>215</v>
      </c>
      <c r="B218" s="85" t="s">
        <v>401</v>
      </c>
      <c r="C218" s="106" t="s">
        <v>402</v>
      </c>
      <c r="D218" s="81"/>
      <c r="E218" s="117" t="s">
        <v>507</v>
      </c>
      <c r="F218" s="64">
        <v>35</v>
      </c>
      <c r="G218" s="116" t="s">
        <v>49</v>
      </c>
      <c r="H218" s="64">
        <v>16</v>
      </c>
      <c r="I218" s="64" t="s">
        <v>372</v>
      </c>
      <c r="J218" s="111" t="s">
        <v>51</v>
      </c>
      <c r="K218" s="64">
        <v>5</v>
      </c>
      <c r="L218" s="64">
        <v>10</v>
      </c>
      <c r="M218" s="64" t="s">
        <v>60</v>
      </c>
      <c r="N218" s="64"/>
      <c r="O218" s="101">
        <v>10</v>
      </c>
      <c r="P218" s="114" t="s">
        <v>323</v>
      </c>
      <c r="Q218" s="21" t="str">
        <f ca="1">IFERROR(__xludf.DUMMYFUNCTION("IF(P218="""","""",IF(REGEXMATCH(UPPER(P218),""CITRATE""),""Citrate"",IF(REGEXMATCH(UPPER(P218),""ACETATE""),""Sodium Acetate"",IF(REGEXMATCH(UPPER(P218),""PBS""),""PBS"",IF(REGEXMATCH(UPPER(P218),""TRIS""),""Tris"",IF(REGEXMATCH(UPPER(P218),""HEPES""),""H"&amp;"EPES"",IF(REGEXMATCH(UPPER(P218),""HISTIDINE""),""Histidine"",IF(REGEXMATCH(UPPER(P218),""SUCCINATE""),""Succinate"",IF(REGEXMATCH(UPPER(P218),""GLYCINE""),""Glycine"",P218)))))))))"),"Citrate")</f>
        <v>Citrate</v>
      </c>
      <c r="R218" s="25"/>
      <c r="S218" s="26">
        <v>10</v>
      </c>
      <c r="T218" s="114"/>
      <c r="U218" s="114"/>
      <c r="V218" s="23" t="s">
        <v>470</v>
      </c>
      <c r="W218" s="75" t="s">
        <v>790</v>
      </c>
      <c r="X218" s="75" t="s">
        <v>517</v>
      </c>
      <c r="Y218" s="75" t="s">
        <v>791</v>
      </c>
      <c r="Z218" s="109" t="s">
        <v>792</v>
      </c>
      <c r="AA218" s="109"/>
      <c r="AB218" s="90" t="s">
        <v>475</v>
      </c>
    </row>
    <row r="219" spans="1:28" ht="15.75" customHeight="1">
      <c r="A219" s="85">
        <v>216</v>
      </c>
      <c r="B219" s="85" t="s">
        <v>401</v>
      </c>
      <c r="C219" s="106" t="s">
        <v>402</v>
      </c>
      <c r="D219" s="81"/>
      <c r="E219" s="117" t="s">
        <v>511</v>
      </c>
      <c r="F219" s="64">
        <v>35</v>
      </c>
      <c r="G219" s="116" t="s">
        <v>49</v>
      </c>
      <c r="H219" s="64">
        <v>16</v>
      </c>
      <c r="I219" s="64" t="s">
        <v>372</v>
      </c>
      <c r="J219" s="111" t="s">
        <v>51</v>
      </c>
      <c r="K219" s="64">
        <v>5</v>
      </c>
      <c r="L219" s="64">
        <v>10</v>
      </c>
      <c r="M219" s="64" t="s">
        <v>60</v>
      </c>
      <c r="N219" s="64"/>
      <c r="O219" s="101">
        <v>10</v>
      </c>
      <c r="P219" s="114" t="s">
        <v>323</v>
      </c>
      <c r="Q219" s="21" t="str">
        <f ca="1">IFERROR(__xludf.DUMMYFUNCTION("IF(P219="""","""",IF(REGEXMATCH(UPPER(P219),""CITRATE""),""Citrate"",IF(REGEXMATCH(UPPER(P219),""ACETATE""),""Sodium Acetate"",IF(REGEXMATCH(UPPER(P219),""PBS""),""PBS"",IF(REGEXMATCH(UPPER(P219),""TRIS""),""Tris"",IF(REGEXMATCH(UPPER(P219),""HEPES""),""H"&amp;"EPES"",IF(REGEXMATCH(UPPER(P219),""HISTIDINE""),""Histidine"",IF(REGEXMATCH(UPPER(P219),""SUCCINATE""),""Succinate"",IF(REGEXMATCH(UPPER(P219),""GLYCINE""),""Glycine"",P219)))))))))"),"Citrate")</f>
        <v>Citrate</v>
      </c>
      <c r="R219" s="25"/>
      <c r="S219" s="26">
        <v>10</v>
      </c>
      <c r="T219" s="114"/>
      <c r="U219" s="114"/>
      <c r="V219" s="23" t="s">
        <v>470</v>
      </c>
      <c r="W219" s="75" t="s">
        <v>793</v>
      </c>
      <c r="X219" s="75" t="s">
        <v>557</v>
      </c>
      <c r="Y219" s="75" t="s">
        <v>794</v>
      </c>
      <c r="Z219" s="109" t="s">
        <v>715</v>
      </c>
      <c r="AA219" s="109"/>
      <c r="AB219" s="90" t="s">
        <v>475</v>
      </c>
    </row>
    <row r="220" spans="1:28" ht="15.75" customHeight="1">
      <c r="A220" s="85">
        <v>217</v>
      </c>
      <c r="B220" s="85" t="s">
        <v>401</v>
      </c>
      <c r="C220" s="106" t="s">
        <v>402</v>
      </c>
      <c r="D220" s="81"/>
      <c r="E220" s="117" t="s">
        <v>411</v>
      </c>
      <c r="F220" s="64">
        <v>35</v>
      </c>
      <c r="G220" s="116" t="s">
        <v>49</v>
      </c>
      <c r="H220" s="64">
        <v>16</v>
      </c>
      <c r="I220" s="64" t="s">
        <v>372</v>
      </c>
      <c r="J220" s="111" t="s">
        <v>51</v>
      </c>
      <c r="K220" s="64">
        <v>5</v>
      </c>
      <c r="L220" s="64">
        <v>10</v>
      </c>
      <c r="M220" s="64" t="s">
        <v>60</v>
      </c>
      <c r="N220" s="64"/>
      <c r="O220" s="101">
        <v>10</v>
      </c>
      <c r="P220" s="114" t="s">
        <v>323</v>
      </c>
      <c r="Q220" s="21" t="str">
        <f ca="1">IFERROR(__xludf.DUMMYFUNCTION("IF(P220="""","""",IF(REGEXMATCH(UPPER(P220),""CITRATE""),""Citrate"",IF(REGEXMATCH(UPPER(P220),""ACETATE""),""Sodium Acetate"",IF(REGEXMATCH(UPPER(P220),""PBS""),""PBS"",IF(REGEXMATCH(UPPER(P220),""TRIS""),""Tris"",IF(REGEXMATCH(UPPER(P220),""HEPES""),""H"&amp;"EPES"",IF(REGEXMATCH(UPPER(P220),""HISTIDINE""),""Histidine"",IF(REGEXMATCH(UPPER(P220),""SUCCINATE""),""Succinate"",IF(REGEXMATCH(UPPER(P220),""GLYCINE""),""Glycine"",P220)))))))))"),"Citrate")</f>
        <v>Citrate</v>
      </c>
      <c r="R220" s="25"/>
      <c r="S220" s="26">
        <v>10</v>
      </c>
      <c r="T220" s="114"/>
      <c r="U220" s="114"/>
      <c r="V220" s="23" t="s">
        <v>470</v>
      </c>
      <c r="W220" s="75" t="s">
        <v>795</v>
      </c>
      <c r="X220" s="75" t="s">
        <v>796</v>
      </c>
      <c r="Y220" s="75" t="s">
        <v>797</v>
      </c>
      <c r="Z220" s="109" t="s">
        <v>609</v>
      </c>
      <c r="AA220" s="109"/>
      <c r="AB220" s="90" t="s">
        <v>475</v>
      </c>
    </row>
    <row r="221" spans="1:28" ht="15.75" customHeight="1">
      <c r="A221" s="85">
        <v>218</v>
      </c>
      <c r="B221" s="85" t="s">
        <v>401</v>
      </c>
      <c r="C221" s="106" t="s">
        <v>402</v>
      </c>
      <c r="D221" s="81"/>
      <c r="E221" s="117" t="s">
        <v>538</v>
      </c>
      <c r="F221" s="64">
        <v>35</v>
      </c>
      <c r="G221" s="116" t="s">
        <v>49</v>
      </c>
      <c r="H221" s="64">
        <v>16</v>
      </c>
      <c r="I221" s="64" t="s">
        <v>372</v>
      </c>
      <c r="J221" s="111" t="s">
        <v>51</v>
      </c>
      <c r="K221" s="64">
        <v>5</v>
      </c>
      <c r="L221" s="64">
        <v>10</v>
      </c>
      <c r="M221" s="64" t="s">
        <v>60</v>
      </c>
      <c r="N221" s="64"/>
      <c r="O221" s="101">
        <v>10</v>
      </c>
      <c r="P221" s="114" t="s">
        <v>323</v>
      </c>
      <c r="Q221" s="21" t="str">
        <f ca="1">IFERROR(__xludf.DUMMYFUNCTION("IF(P221="""","""",IF(REGEXMATCH(UPPER(P221),""CITRATE""),""Citrate"",IF(REGEXMATCH(UPPER(P221),""ACETATE""),""Sodium Acetate"",IF(REGEXMATCH(UPPER(P221),""PBS""),""PBS"",IF(REGEXMATCH(UPPER(P221),""TRIS""),""Tris"",IF(REGEXMATCH(UPPER(P221),""HEPES""),""H"&amp;"EPES"",IF(REGEXMATCH(UPPER(P221),""HISTIDINE""),""Histidine"",IF(REGEXMATCH(UPPER(P221),""SUCCINATE""),""Succinate"",IF(REGEXMATCH(UPPER(P221),""GLYCINE""),""Glycine"",P221)))))))))"),"Citrate")</f>
        <v>Citrate</v>
      </c>
      <c r="R221" s="25"/>
      <c r="S221" s="26">
        <v>10</v>
      </c>
      <c r="T221" s="114"/>
      <c r="U221" s="114"/>
      <c r="V221" s="23" t="s">
        <v>470</v>
      </c>
      <c r="W221" s="75" t="s">
        <v>798</v>
      </c>
      <c r="X221" s="75" t="s">
        <v>799</v>
      </c>
      <c r="Y221" s="75" t="s">
        <v>800</v>
      </c>
      <c r="Z221" s="109" t="s">
        <v>335</v>
      </c>
      <c r="AA221" s="109"/>
      <c r="AB221" s="90" t="s">
        <v>475</v>
      </c>
    </row>
    <row r="222" spans="1:28" ht="15.75" customHeight="1">
      <c r="A222" s="85">
        <v>219</v>
      </c>
      <c r="B222" s="85" t="s">
        <v>401</v>
      </c>
      <c r="C222" s="106" t="s">
        <v>402</v>
      </c>
      <c r="D222" s="81"/>
      <c r="E222" s="117" t="s">
        <v>542</v>
      </c>
      <c r="F222" s="64">
        <v>35</v>
      </c>
      <c r="G222" s="116" t="s">
        <v>49</v>
      </c>
      <c r="H222" s="64">
        <v>16</v>
      </c>
      <c r="I222" s="64" t="s">
        <v>372</v>
      </c>
      <c r="J222" s="111" t="s">
        <v>51</v>
      </c>
      <c r="K222" s="64">
        <v>5</v>
      </c>
      <c r="L222" s="64">
        <v>10</v>
      </c>
      <c r="M222" s="64" t="s">
        <v>60</v>
      </c>
      <c r="N222" s="64"/>
      <c r="O222" s="101">
        <v>10</v>
      </c>
      <c r="P222" s="114" t="s">
        <v>323</v>
      </c>
      <c r="Q222" s="21" t="str">
        <f ca="1">IFERROR(__xludf.DUMMYFUNCTION("IF(P222="""","""",IF(REGEXMATCH(UPPER(P222),""CITRATE""),""Citrate"",IF(REGEXMATCH(UPPER(P222),""ACETATE""),""Sodium Acetate"",IF(REGEXMATCH(UPPER(P222),""PBS""),""PBS"",IF(REGEXMATCH(UPPER(P222),""TRIS""),""Tris"",IF(REGEXMATCH(UPPER(P222),""HEPES""),""H"&amp;"EPES"",IF(REGEXMATCH(UPPER(P222),""HISTIDINE""),""Histidine"",IF(REGEXMATCH(UPPER(P222),""SUCCINATE""),""Succinate"",IF(REGEXMATCH(UPPER(P222),""GLYCINE""),""Glycine"",P222)))))))))"),"Citrate")</f>
        <v>Citrate</v>
      </c>
      <c r="R222" s="25"/>
      <c r="S222" s="26">
        <v>10</v>
      </c>
      <c r="T222" s="114"/>
      <c r="U222" s="114"/>
      <c r="V222" s="23" t="s">
        <v>470</v>
      </c>
      <c r="W222" s="75" t="s">
        <v>801</v>
      </c>
      <c r="X222" s="75" t="s">
        <v>802</v>
      </c>
      <c r="Y222" s="75" t="s">
        <v>803</v>
      </c>
      <c r="Z222" s="109" t="s">
        <v>734</v>
      </c>
      <c r="AA222" s="109"/>
      <c r="AB222" s="90" t="s">
        <v>475</v>
      </c>
    </row>
    <row r="223" spans="1:28" ht="15.75" customHeight="1">
      <c r="A223" s="85">
        <v>220</v>
      </c>
      <c r="B223" s="85" t="s">
        <v>401</v>
      </c>
      <c r="C223" s="106" t="s">
        <v>402</v>
      </c>
      <c r="D223" s="81"/>
      <c r="E223" s="117" t="s">
        <v>547</v>
      </c>
      <c r="F223" s="64">
        <v>35</v>
      </c>
      <c r="G223" s="116" t="s">
        <v>49</v>
      </c>
      <c r="H223" s="64">
        <v>16</v>
      </c>
      <c r="I223" s="64" t="s">
        <v>372</v>
      </c>
      <c r="J223" s="111" t="s">
        <v>51</v>
      </c>
      <c r="K223" s="64">
        <v>5</v>
      </c>
      <c r="L223" s="64">
        <v>10</v>
      </c>
      <c r="M223" s="64" t="s">
        <v>60</v>
      </c>
      <c r="N223" s="64"/>
      <c r="O223" s="101">
        <v>10</v>
      </c>
      <c r="P223" s="114" t="s">
        <v>323</v>
      </c>
      <c r="Q223" s="21" t="str">
        <f ca="1">IFERROR(__xludf.DUMMYFUNCTION("IF(P223="""","""",IF(REGEXMATCH(UPPER(P223),""CITRATE""),""Citrate"",IF(REGEXMATCH(UPPER(P223),""ACETATE""),""Sodium Acetate"",IF(REGEXMATCH(UPPER(P223),""PBS""),""PBS"",IF(REGEXMATCH(UPPER(P223),""TRIS""),""Tris"",IF(REGEXMATCH(UPPER(P223),""HEPES""),""H"&amp;"EPES"",IF(REGEXMATCH(UPPER(P223),""HISTIDINE""),""Histidine"",IF(REGEXMATCH(UPPER(P223),""SUCCINATE""),""Succinate"",IF(REGEXMATCH(UPPER(P223),""GLYCINE""),""Glycine"",P223)))))))))"),"Citrate")</f>
        <v>Citrate</v>
      </c>
      <c r="R223" s="25"/>
      <c r="S223" s="26">
        <v>10</v>
      </c>
      <c r="T223" s="114"/>
      <c r="U223" s="114"/>
      <c r="V223" s="23" t="s">
        <v>470</v>
      </c>
      <c r="W223" s="75" t="s">
        <v>534</v>
      </c>
      <c r="X223" s="75" t="s">
        <v>205</v>
      </c>
      <c r="Y223" s="75" t="s">
        <v>804</v>
      </c>
      <c r="Z223" s="109" t="s">
        <v>805</v>
      </c>
      <c r="AA223" s="109"/>
      <c r="AB223" s="90" t="s">
        <v>475</v>
      </c>
    </row>
    <row r="224" spans="1:28" ht="15.75" customHeight="1">
      <c r="A224" s="85">
        <v>221</v>
      </c>
      <c r="B224" s="85" t="s">
        <v>401</v>
      </c>
      <c r="C224" s="106" t="s">
        <v>402</v>
      </c>
      <c r="D224" s="81"/>
      <c r="E224" s="117" t="s">
        <v>569</v>
      </c>
      <c r="F224" s="64">
        <v>35</v>
      </c>
      <c r="G224" s="116" t="s">
        <v>49</v>
      </c>
      <c r="H224" s="64">
        <v>16</v>
      </c>
      <c r="I224" s="64" t="s">
        <v>372</v>
      </c>
      <c r="J224" s="111" t="s">
        <v>51</v>
      </c>
      <c r="K224" s="64">
        <v>5</v>
      </c>
      <c r="L224" s="64">
        <v>10</v>
      </c>
      <c r="M224" s="64" t="s">
        <v>60</v>
      </c>
      <c r="N224" s="64"/>
      <c r="O224" s="101">
        <v>10</v>
      </c>
      <c r="P224" s="114" t="s">
        <v>323</v>
      </c>
      <c r="Q224" s="21" t="str">
        <f ca="1">IFERROR(__xludf.DUMMYFUNCTION("IF(P224="""","""",IF(REGEXMATCH(UPPER(P224),""CITRATE""),""Citrate"",IF(REGEXMATCH(UPPER(P224),""ACETATE""),""Sodium Acetate"",IF(REGEXMATCH(UPPER(P224),""PBS""),""PBS"",IF(REGEXMATCH(UPPER(P224),""TRIS""),""Tris"",IF(REGEXMATCH(UPPER(P224),""HEPES""),""H"&amp;"EPES"",IF(REGEXMATCH(UPPER(P224),""HISTIDINE""),""Histidine"",IF(REGEXMATCH(UPPER(P224),""SUCCINATE""),""Succinate"",IF(REGEXMATCH(UPPER(P224),""GLYCINE""),""Glycine"",P224)))))))))"),"Citrate")</f>
        <v>Citrate</v>
      </c>
      <c r="R224" s="25"/>
      <c r="S224" s="26">
        <v>10</v>
      </c>
      <c r="T224" s="114"/>
      <c r="U224" s="114"/>
      <c r="V224" s="23" t="s">
        <v>470</v>
      </c>
      <c r="W224" s="75" t="s">
        <v>681</v>
      </c>
      <c r="X224" s="75" t="s">
        <v>806</v>
      </c>
      <c r="Y224" s="75" t="s">
        <v>807</v>
      </c>
      <c r="Z224" s="109" t="s">
        <v>808</v>
      </c>
      <c r="AA224" s="109"/>
      <c r="AB224" s="90" t="s">
        <v>475</v>
      </c>
    </row>
    <row r="225" spans="1:28" ht="15.75" customHeight="1">
      <c r="A225" s="85">
        <v>222</v>
      </c>
      <c r="B225" s="85" t="s">
        <v>401</v>
      </c>
      <c r="C225" s="106" t="s">
        <v>402</v>
      </c>
      <c r="D225" s="81"/>
      <c r="E225" s="117" t="s">
        <v>574</v>
      </c>
      <c r="F225" s="64">
        <v>35</v>
      </c>
      <c r="G225" s="116" t="s">
        <v>49</v>
      </c>
      <c r="H225" s="64">
        <v>16</v>
      </c>
      <c r="I225" s="64" t="s">
        <v>372</v>
      </c>
      <c r="J225" s="111" t="s">
        <v>51</v>
      </c>
      <c r="K225" s="64">
        <v>5</v>
      </c>
      <c r="L225" s="64">
        <v>10</v>
      </c>
      <c r="M225" s="64" t="s">
        <v>60</v>
      </c>
      <c r="N225" s="64"/>
      <c r="O225" s="101">
        <v>10</v>
      </c>
      <c r="P225" s="114" t="s">
        <v>323</v>
      </c>
      <c r="Q225" s="21" t="str">
        <f ca="1">IFERROR(__xludf.DUMMYFUNCTION("IF(P225="""","""",IF(REGEXMATCH(UPPER(P225),""CITRATE""),""Citrate"",IF(REGEXMATCH(UPPER(P225),""ACETATE""),""Sodium Acetate"",IF(REGEXMATCH(UPPER(P225),""PBS""),""PBS"",IF(REGEXMATCH(UPPER(P225),""TRIS""),""Tris"",IF(REGEXMATCH(UPPER(P225),""HEPES""),""H"&amp;"EPES"",IF(REGEXMATCH(UPPER(P225),""HISTIDINE""),""Histidine"",IF(REGEXMATCH(UPPER(P225),""SUCCINATE""),""Succinate"",IF(REGEXMATCH(UPPER(P225),""GLYCINE""),""Glycine"",P225)))))))))"),"Citrate")</f>
        <v>Citrate</v>
      </c>
      <c r="R225" s="25"/>
      <c r="S225" s="26">
        <v>10</v>
      </c>
      <c r="T225" s="114"/>
      <c r="U225" s="114"/>
      <c r="V225" s="23" t="s">
        <v>470</v>
      </c>
      <c r="W225" s="75" t="s">
        <v>809</v>
      </c>
      <c r="X225" s="75" t="s">
        <v>810</v>
      </c>
      <c r="Y225" s="75" t="s">
        <v>811</v>
      </c>
      <c r="Z225" s="109" t="s">
        <v>812</v>
      </c>
      <c r="AA225" s="109"/>
      <c r="AB225" s="90" t="s">
        <v>475</v>
      </c>
    </row>
    <row r="226" spans="1:28" ht="15.75" customHeight="1">
      <c r="A226" s="85">
        <v>223</v>
      </c>
      <c r="B226" s="85" t="s">
        <v>401</v>
      </c>
      <c r="C226" s="106" t="s">
        <v>402</v>
      </c>
      <c r="D226" s="81"/>
      <c r="E226" s="117" t="s">
        <v>417</v>
      </c>
      <c r="F226" s="64">
        <v>35</v>
      </c>
      <c r="G226" s="116" t="s">
        <v>49</v>
      </c>
      <c r="H226" s="64">
        <v>16</v>
      </c>
      <c r="I226" s="64" t="s">
        <v>372</v>
      </c>
      <c r="J226" s="111" t="s">
        <v>51</v>
      </c>
      <c r="K226" s="65">
        <v>46143</v>
      </c>
      <c r="L226" s="64">
        <v>10</v>
      </c>
      <c r="M226" s="64" t="s">
        <v>60</v>
      </c>
      <c r="N226" s="64"/>
      <c r="O226" s="101">
        <v>10</v>
      </c>
      <c r="P226" s="114" t="s">
        <v>323</v>
      </c>
      <c r="Q226" s="21" t="str">
        <f ca="1">IFERROR(__xludf.DUMMYFUNCTION("IF(P226="""","""",IF(REGEXMATCH(UPPER(P226),""CITRATE""),""Citrate"",IF(REGEXMATCH(UPPER(P226),""ACETATE""),""Sodium Acetate"",IF(REGEXMATCH(UPPER(P226),""PBS""),""PBS"",IF(REGEXMATCH(UPPER(P226),""TRIS""),""Tris"",IF(REGEXMATCH(UPPER(P226),""HEPES""),""H"&amp;"EPES"",IF(REGEXMATCH(UPPER(P226),""HISTIDINE""),""Histidine"",IF(REGEXMATCH(UPPER(P226),""SUCCINATE""),""Succinate"",IF(REGEXMATCH(UPPER(P226),""GLYCINE""),""Glycine"",P226)))))))))"),"Citrate")</f>
        <v>Citrate</v>
      </c>
      <c r="R226" s="25"/>
      <c r="S226" s="26">
        <v>10</v>
      </c>
      <c r="T226" s="114"/>
      <c r="U226" s="114"/>
      <c r="V226" s="23" t="s">
        <v>470</v>
      </c>
      <c r="W226" s="75" t="s">
        <v>813</v>
      </c>
      <c r="X226" s="75" t="s">
        <v>218</v>
      </c>
      <c r="Y226" s="75" t="s">
        <v>814</v>
      </c>
      <c r="Z226" s="109" t="s">
        <v>429</v>
      </c>
      <c r="AA226" s="109"/>
      <c r="AB226" s="90" t="s">
        <v>475</v>
      </c>
    </row>
    <row r="227" spans="1:28" ht="15.75" customHeight="1">
      <c r="A227" s="85">
        <v>224</v>
      </c>
      <c r="B227" s="85" t="s">
        <v>401</v>
      </c>
      <c r="C227" s="106" t="s">
        <v>402</v>
      </c>
      <c r="D227" s="81"/>
      <c r="E227" s="117" t="s">
        <v>84</v>
      </c>
      <c r="F227" s="64">
        <v>50</v>
      </c>
      <c r="G227" s="116" t="s">
        <v>85</v>
      </c>
      <c r="H227" s="64">
        <v>10</v>
      </c>
      <c r="I227" s="64" t="s">
        <v>86</v>
      </c>
      <c r="J227" s="111" t="s">
        <v>51</v>
      </c>
      <c r="K227" s="65">
        <v>46143</v>
      </c>
      <c r="L227" s="64">
        <v>10</v>
      </c>
      <c r="M227" s="64" t="s">
        <v>60</v>
      </c>
      <c r="N227" s="64"/>
      <c r="O227" s="101">
        <v>10</v>
      </c>
      <c r="P227" s="114" t="s">
        <v>323</v>
      </c>
      <c r="Q227" s="21" t="str">
        <f ca="1">IFERROR(__xludf.DUMMYFUNCTION("IF(P227="""","""",IF(REGEXMATCH(UPPER(P227),""CITRATE""),""Citrate"",IF(REGEXMATCH(UPPER(P227),""ACETATE""),""Sodium Acetate"",IF(REGEXMATCH(UPPER(P227),""PBS""),""PBS"",IF(REGEXMATCH(UPPER(P227),""TRIS""),""Tris"",IF(REGEXMATCH(UPPER(P227),""HEPES""),""H"&amp;"EPES"",IF(REGEXMATCH(UPPER(P227),""HISTIDINE""),""Histidine"",IF(REGEXMATCH(UPPER(P227),""SUCCINATE""),""Succinate"",IF(REGEXMATCH(UPPER(P227),""GLYCINE""),""Glycine"",P227)))))))))"),"Citrate")</f>
        <v>Citrate</v>
      </c>
      <c r="R227" s="25"/>
      <c r="S227" s="26">
        <v>10</v>
      </c>
      <c r="T227" s="114"/>
      <c r="U227" s="114"/>
      <c r="V227" s="23" t="s">
        <v>470</v>
      </c>
      <c r="W227" s="75" t="s">
        <v>815</v>
      </c>
      <c r="X227" s="75" t="s">
        <v>694</v>
      </c>
      <c r="Y227" s="75" t="s">
        <v>816</v>
      </c>
      <c r="Z227" s="109" t="s">
        <v>817</v>
      </c>
      <c r="AA227" s="109"/>
      <c r="AB227" s="90" t="s">
        <v>475</v>
      </c>
    </row>
    <row r="228" spans="1:28" ht="15.75" customHeight="1">
      <c r="R228" s="122"/>
    </row>
    <row r="229" spans="1:28" ht="15.75" customHeight="1">
      <c r="R229" s="122"/>
    </row>
    <row r="230" spans="1:28" ht="15.75" customHeight="1">
      <c r="R230" s="122"/>
    </row>
    <row r="231" spans="1:28" ht="15.75" customHeight="1">
      <c r="R231" s="122"/>
    </row>
    <row r="232" spans="1:28" ht="15.75" customHeight="1">
      <c r="R232" s="122"/>
    </row>
    <row r="233" spans="1:28" ht="15.75" customHeight="1">
      <c r="R233" s="122"/>
    </row>
    <row r="234" spans="1:28" ht="15.75" customHeight="1">
      <c r="R234" s="122"/>
    </row>
    <row r="235" spans="1:28" ht="15.75" customHeight="1">
      <c r="R235" s="122"/>
    </row>
    <row r="236" spans="1:28" ht="15.75" customHeight="1">
      <c r="R236" s="122"/>
    </row>
    <row r="237" spans="1:28" ht="15.75" customHeight="1">
      <c r="R237" s="122"/>
    </row>
    <row r="238" spans="1:28" ht="15.75" customHeight="1">
      <c r="R238" s="122"/>
    </row>
    <row r="239" spans="1:28" ht="15.75" customHeight="1">
      <c r="R239" s="122"/>
    </row>
    <row r="240" spans="1:28" ht="15.75" customHeight="1">
      <c r="R240" s="122"/>
    </row>
    <row r="241" spans="18:18" ht="15.75" customHeight="1">
      <c r="R241" s="122"/>
    </row>
    <row r="242" spans="18:18" ht="15.75" customHeight="1">
      <c r="R242" s="122"/>
    </row>
    <row r="243" spans="18:18" ht="15.75" customHeight="1">
      <c r="R243" s="122"/>
    </row>
    <row r="244" spans="18:18" ht="15.75" customHeight="1">
      <c r="R244" s="122"/>
    </row>
    <row r="245" spans="18:18" ht="15.75" customHeight="1">
      <c r="R245" s="122"/>
    </row>
    <row r="246" spans="18:18" ht="15.75" customHeight="1">
      <c r="R246" s="122"/>
    </row>
    <row r="247" spans="18:18" ht="15.75" customHeight="1">
      <c r="R247" s="122"/>
    </row>
    <row r="248" spans="18:18" ht="15.75" customHeight="1">
      <c r="R248" s="122"/>
    </row>
    <row r="249" spans="18:18" ht="15.75" customHeight="1">
      <c r="R249" s="122"/>
    </row>
    <row r="250" spans="18:18" ht="15.75" customHeight="1">
      <c r="R250" s="122"/>
    </row>
    <row r="251" spans="18:18" ht="15.75" customHeight="1">
      <c r="R251" s="122"/>
    </row>
    <row r="252" spans="18:18" ht="15.75" customHeight="1">
      <c r="R252" s="122"/>
    </row>
    <row r="253" spans="18:18" ht="15.75" customHeight="1">
      <c r="R253" s="122"/>
    </row>
    <row r="254" spans="18:18" ht="15.75" customHeight="1">
      <c r="R254" s="122"/>
    </row>
    <row r="255" spans="18:18" ht="15.75" customHeight="1">
      <c r="R255" s="122"/>
    </row>
    <row r="256" spans="18:18" ht="15.75" customHeight="1">
      <c r="R256" s="122"/>
    </row>
    <row r="257" spans="18:18" ht="15.75" customHeight="1">
      <c r="R257" s="122"/>
    </row>
    <row r="258" spans="18:18" ht="15.75" customHeight="1">
      <c r="R258" s="122"/>
    </row>
    <row r="259" spans="18:18" ht="15.75" customHeight="1">
      <c r="R259" s="122"/>
    </row>
    <row r="260" spans="18:18" ht="15.75" customHeight="1">
      <c r="R260" s="122"/>
    </row>
    <row r="261" spans="18:18" ht="15.75" customHeight="1">
      <c r="R261" s="122"/>
    </row>
    <row r="262" spans="18:18" ht="15.75" customHeight="1">
      <c r="R262" s="122"/>
    </row>
    <row r="263" spans="18:18" ht="15.75" customHeight="1">
      <c r="R263" s="122"/>
    </row>
    <row r="264" spans="18:18" ht="15.75" customHeight="1">
      <c r="R264" s="122"/>
    </row>
    <row r="265" spans="18:18" ht="15.75" customHeight="1">
      <c r="R265" s="122"/>
    </row>
    <row r="266" spans="18:18" ht="15.75" customHeight="1">
      <c r="R266" s="122"/>
    </row>
    <row r="267" spans="18:18" ht="15.75" customHeight="1">
      <c r="R267" s="122"/>
    </row>
    <row r="268" spans="18:18" ht="15.75" customHeight="1">
      <c r="R268" s="122"/>
    </row>
    <row r="269" spans="18:18" ht="15.75" customHeight="1">
      <c r="R269" s="122"/>
    </row>
    <row r="270" spans="18:18" ht="15.75" customHeight="1">
      <c r="R270" s="122"/>
    </row>
    <row r="271" spans="18:18" ht="15.75" customHeight="1">
      <c r="R271" s="122"/>
    </row>
    <row r="272" spans="18:18" ht="15.75" customHeight="1">
      <c r="R272" s="122"/>
    </row>
    <row r="273" spans="18:32" ht="15.75" customHeight="1">
      <c r="R273" s="122"/>
    </row>
    <row r="274" spans="18:32" ht="15.75" customHeight="1">
      <c r="R274" s="122"/>
    </row>
    <row r="275" spans="18:32" ht="15.75" customHeight="1">
      <c r="R275" s="122"/>
    </row>
    <row r="276" spans="18:32" ht="15.75" customHeight="1">
      <c r="R276" s="122"/>
    </row>
    <row r="277" spans="18:32" ht="15.75" customHeight="1">
      <c r="R277" s="122"/>
    </row>
    <row r="278" spans="18:32" ht="15.75" customHeight="1">
      <c r="R278" s="122"/>
      <c r="AC278" s="121"/>
      <c r="AD278" s="121"/>
      <c r="AE278" s="121"/>
      <c r="AF278" s="121"/>
    </row>
    <row r="279" spans="18:32" ht="15.75" customHeight="1">
      <c r="R279" s="122"/>
    </row>
    <row r="280" spans="18:32" ht="15.75" customHeight="1">
      <c r="R280" s="122"/>
    </row>
    <row r="281" spans="18:32" ht="15.75" customHeight="1">
      <c r="R281" s="122"/>
    </row>
    <row r="282" spans="18:32" ht="15.75" customHeight="1">
      <c r="R282" s="122"/>
    </row>
    <row r="283" spans="18:32" ht="15.75" customHeight="1">
      <c r="R283" s="122"/>
    </row>
    <row r="284" spans="18:32" ht="15.75" customHeight="1">
      <c r="R284" s="122"/>
    </row>
    <row r="285" spans="18:32" ht="15.75" customHeight="1">
      <c r="R285" s="122"/>
    </row>
    <row r="286" spans="18:32" ht="15.75" customHeight="1">
      <c r="R286" s="122"/>
    </row>
    <row r="287" spans="18:32" ht="15.75" customHeight="1">
      <c r="R287" s="122"/>
    </row>
    <row r="288" spans="18:32" ht="15.75" customHeight="1">
      <c r="R288" s="122"/>
    </row>
    <row r="289" spans="18:18" ht="15.75" customHeight="1">
      <c r="R289" s="122"/>
    </row>
    <row r="290" spans="18:18" ht="15.75" customHeight="1">
      <c r="R290" s="122"/>
    </row>
    <row r="291" spans="18:18" ht="15.75" customHeight="1">
      <c r="R291" s="122"/>
    </row>
    <row r="292" spans="18:18" ht="15.75" customHeight="1">
      <c r="R292" s="122"/>
    </row>
    <row r="293" spans="18:18" ht="15.75" customHeight="1">
      <c r="R293" s="122"/>
    </row>
    <row r="294" spans="18:18" ht="15.75" customHeight="1">
      <c r="R294" s="122"/>
    </row>
    <row r="295" spans="18:18" ht="15.75" customHeight="1">
      <c r="R295" s="122"/>
    </row>
    <row r="296" spans="18:18" ht="15.75" customHeight="1">
      <c r="R296" s="122"/>
    </row>
    <row r="297" spans="18:18" ht="15.75" customHeight="1">
      <c r="R297" s="122"/>
    </row>
    <row r="298" spans="18:18" ht="15.75" customHeight="1">
      <c r="R298" s="122"/>
    </row>
    <row r="299" spans="18:18" ht="15.75" customHeight="1">
      <c r="R299" s="122"/>
    </row>
    <row r="300" spans="18:18" ht="15.75" customHeight="1">
      <c r="R300" s="122"/>
    </row>
    <row r="301" spans="18:18" ht="15.75" customHeight="1">
      <c r="R301" s="122"/>
    </row>
    <row r="302" spans="18:18" ht="15.75" customHeight="1">
      <c r="R302" s="122"/>
    </row>
    <row r="303" spans="18:18" ht="15.75" customHeight="1">
      <c r="R303" s="122"/>
    </row>
    <row r="304" spans="18:18" ht="15.75" customHeight="1">
      <c r="R304" s="122"/>
    </row>
    <row r="305" spans="18:18" ht="15.75" customHeight="1">
      <c r="R305" s="122"/>
    </row>
    <row r="306" spans="18:18" ht="15.75" customHeight="1">
      <c r="R306" s="122"/>
    </row>
    <row r="307" spans="18:18" ht="15.75" customHeight="1">
      <c r="R307" s="122"/>
    </row>
    <row r="308" spans="18:18" ht="15.75" customHeight="1">
      <c r="R308" s="122"/>
    </row>
    <row r="309" spans="18:18" ht="15.75" customHeight="1">
      <c r="R309" s="122"/>
    </row>
    <row r="310" spans="18:18" ht="15.75" customHeight="1">
      <c r="R310" s="122"/>
    </row>
    <row r="311" spans="18:18" ht="15.75" customHeight="1">
      <c r="R311" s="122"/>
    </row>
    <row r="312" spans="18:18" ht="15.75" customHeight="1">
      <c r="R312" s="122"/>
    </row>
    <row r="313" spans="18:18" ht="15.75" customHeight="1">
      <c r="R313" s="122"/>
    </row>
    <row r="314" spans="18:18" ht="15.75" customHeight="1">
      <c r="R314" s="122"/>
    </row>
    <row r="315" spans="18:18" ht="15.75" customHeight="1">
      <c r="R315" s="122"/>
    </row>
    <row r="316" spans="18:18" ht="15.75" customHeight="1">
      <c r="R316" s="122"/>
    </row>
    <row r="317" spans="18:18" ht="15.75" customHeight="1">
      <c r="R317" s="122"/>
    </row>
    <row r="318" spans="18:18" ht="15.75" customHeight="1">
      <c r="R318" s="122"/>
    </row>
    <row r="319" spans="18:18" ht="15.75" customHeight="1">
      <c r="R319" s="122"/>
    </row>
    <row r="320" spans="18:18" ht="15.75" customHeight="1">
      <c r="R320" s="122"/>
    </row>
    <row r="321" spans="18:18" ht="15.75" customHeight="1">
      <c r="R321" s="122"/>
    </row>
    <row r="322" spans="18:18" ht="15.75" customHeight="1">
      <c r="R322" s="122"/>
    </row>
    <row r="323" spans="18:18" ht="15.75" customHeight="1">
      <c r="R323" s="122"/>
    </row>
    <row r="324" spans="18:18" ht="15.75" customHeight="1">
      <c r="R324" s="122"/>
    </row>
    <row r="325" spans="18:18" ht="15.75" customHeight="1">
      <c r="R325" s="122"/>
    </row>
    <row r="326" spans="18:18" ht="15.75" customHeight="1">
      <c r="R326" s="122"/>
    </row>
    <row r="327" spans="18:18" ht="15.75" customHeight="1">
      <c r="R327" s="122"/>
    </row>
    <row r="328" spans="18:18" ht="15.75" customHeight="1">
      <c r="R328" s="122"/>
    </row>
    <row r="329" spans="18:18" ht="15.75" customHeight="1">
      <c r="R329" s="122"/>
    </row>
    <row r="330" spans="18:18" ht="15.75" customHeight="1">
      <c r="R330" s="122"/>
    </row>
    <row r="331" spans="18:18" ht="15.75" customHeight="1">
      <c r="R331" s="122"/>
    </row>
    <row r="332" spans="18:18" ht="15.75" customHeight="1">
      <c r="R332" s="122"/>
    </row>
    <row r="333" spans="18:18" ht="15.75" customHeight="1">
      <c r="R333" s="122"/>
    </row>
    <row r="334" spans="18:18" ht="15.75" customHeight="1">
      <c r="R334" s="122"/>
    </row>
    <row r="335" spans="18:18" ht="15.75" customHeight="1">
      <c r="R335" s="122"/>
    </row>
    <row r="336" spans="18:18" ht="15.75" customHeight="1">
      <c r="R336" s="122"/>
    </row>
    <row r="337" spans="18:18" ht="15.75" customHeight="1">
      <c r="R337" s="122"/>
    </row>
    <row r="338" spans="18:18" ht="15.75" customHeight="1">
      <c r="R338" s="122"/>
    </row>
    <row r="339" spans="18:18" ht="15.75" customHeight="1">
      <c r="R339" s="122"/>
    </row>
    <row r="340" spans="18:18" ht="15.75" customHeight="1">
      <c r="R340" s="122"/>
    </row>
    <row r="341" spans="18:18" ht="15.75" customHeight="1">
      <c r="R341" s="122"/>
    </row>
    <row r="342" spans="18:18" ht="15.75" customHeight="1">
      <c r="R342" s="122"/>
    </row>
    <row r="343" spans="18:18" ht="15.75" customHeight="1">
      <c r="R343" s="122"/>
    </row>
    <row r="344" spans="18:18" ht="15.75" customHeight="1">
      <c r="R344" s="122"/>
    </row>
    <row r="345" spans="18:18" ht="15.75" customHeight="1">
      <c r="R345" s="122"/>
    </row>
    <row r="346" spans="18:18" ht="15.75" customHeight="1">
      <c r="R346" s="122"/>
    </row>
    <row r="347" spans="18:18" ht="15.75" customHeight="1">
      <c r="R347" s="122"/>
    </row>
    <row r="348" spans="18:18" ht="15.75" customHeight="1">
      <c r="R348" s="122"/>
    </row>
    <row r="349" spans="18:18" ht="15.75" customHeight="1">
      <c r="R349" s="122"/>
    </row>
    <row r="350" spans="18:18" ht="15.75" customHeight="1">
      <c r="R350" s="122"/>
    </row>
    <row r="351" spans="18:18" ht="15.75" customHeight="1">
      <c r="R351" s="122"/>
    </row>
    <row r="352" spans="18:18" ht="15.75" customHeight="1">
      <c r="R352" s="122"/>
    </row>
    <row r="353" spans="18:18" ht="15.75" customHeight="1">
      <c r="R353" s="122"/>
    </row>
    <row r="354" spans="18:18" ht="15.75" customHeight="1">
      <c r="R354" s="122"/>
    </row>
    <row r="355" spans="18:18" ht="15.75" customHeight="1">
      <c r="R355" s="122"/>
    </row>
    <row r="356" spans="18:18" ht="15.75" customHeight="1">
      <c r="R356" s="122"/>
    </row>
    <row r="357" spans="18:18" ht="15.75" customHeight="1">
      <c r="R357" s="122"/>
    </row>
    <row r="358" spans="18:18" ht="15.75" customHeight="1">
      <c r="R358" s="122"/>
    </row>
    <row r="359" spans="18:18" ht="15.75" customHeight="1">
      <c r="R359" s="122"/>
    </row>
    <row r="360" spans="18:18" ht="15.75" customHeight="1">
      <c r="R360" s="122"/>
    </row>
    <row r="361" spans="18:18" ht="15.75" customHeight="1">
      <c r="R361" s="122"/>
    </row>
    <row r="362" spans="18:18" ht="15.75" customHeight="1">
      <c r="R362" s="122"/>
    </row>
    <row r="363" spans="18:18" ht="15.75" customHeight="1">
      <c r="R363" s="122"/>
    </row>
    <row r="364" spans="18:18" ht="15.75" customHeight="1">
      <c r="R364" s="122"/>
    </row>
    <row r="365" spans="18:18" ht="15.75" customHeight="1">
      <c r="R365" s="122"/>
    </row>
    <row r="366" spans="18:18" ht="15.75" customHeight="1">
      <c r="R366" s="122"/>
    </row>
    <row r="367" spans="18:18" ht="15.75" customHeight="1">
      <c r="R367" s="122"/>
    </row>
    <row r="368" spans="18:18" ht="15.75" customHeight="1">
      <c r="R368" s="122"/>
    </row>
    <row r="369" spans="18:18" ht="15.75" customHeight="1">
      <c r="R369" s="122"/>
    </row>
    <row r="370" spans="18:18" ht="15.75" customHeight="1">
      <c r="R370" s="122"/>
    </row>
    <row r="371" spans="18:18" ht="15.75" customHeight="1">
      <c r="R371" s="122"/>
    </row>
    <row r="372" spans="18:18" ht="15.75" customHeight="1">
      <c r="R372" s="122"/>
    </row>
    <row r="373" spans="18:18" ht="15.75" customHeight="1">
      <c r="R373" s="122"/>
    </row>
    <row r="374" spans="18:18" ht="15.75" customHeight="1">
      <c r="R374" s="122"/>
    </row>
    <row r="375" spans="18:18" ht="15.75" customHeight="1">
      <c r="R375" s="122"/>
    </row>
    <row r="376" spans="18:18" ht="15.75" customHeight="1">
      <c r="R376" s="122"/>
    </row>
    <row r="377" spans="18:18" ht="15.75" customHeight="1">
      <c r="R377" s="122"/>
    </row>
    <row r="378" spans="18:18" ht="15.75" customHeight="1">
      <c r="R378" s="122"/>
    </row>
    <row r="379" spans="18:18" ht="15.75" customHeight="1">
      <c r="R379" s="122"/>
    </row>
    <row r="380" spans="18:18" ht="15.75" customHeight="1">
      <c r="R380" s="122"/>
    </row>
    <row r="381" spans="18:18" ht="15.75" customHeight="1">
      <c r="R381" s="122"/>
    </row>
    <row r="382" spans="18:18" ht="15.75" customHeight="1">
      <c r="R382" s="122"/>
    </row>
    <row r="383" spans="18:18" ht="15.75" customHeight="1">
      <c r="R383" s="122"/>
    </row>
    <row r="384" spans="18:18" ht="15.75" customHeight="1">
      <c r="R384" s="122"/>
    </row>
    <row r="385" spans="18:18" ht="15.75" customHeight="1">
      <c r="R385" s="122"/>
    </row>
    <row r="386" spans="18:18" ht="15.75" customHeight="1">
      <c r="R386" s="122"/>
    </row>
    <row r="387" spans="18:18" ht="15.75" customHeight="1">
      <c r="R387" s="122"/>
    </row>
    <row r="388" spans="18:18" ht="15.75" customHeight="1">
      <c r="R388" s="122"/>
    </row>
    <row r="389" spans="18:18" ht="15.75" customHeight="1">
      <c r="R389" s="122"/>
    </row>
    <row r="390" spans="18:18" ht="15.75" customHeight="1">
      <c r="R390" s="122"/>
    </row>
    <row r="391" spans="18:18" ht="15.75" customHeight="1">
      <c r="R391" s="122"/>
    </row>
    <row r="392" spans="18:18" ht="15.75" customHeight="1">
      <c r="R392" s="122"/>
    </row>
    <row r="393" spans="18:18" ht="15.75" customHeight="1">
      <c r="R393" s="122"/>
    </row>
    <row r="394" spans="18:18" ht="15.75" customHeight="1">
      <c r="R394" s="122"/>
    </row>
    <row r="395" spans="18:18" ht="15.75" customHeight="1">
      <c r="R395" s="122"/>
    </row>
    <row r="396" spans="18:18" ht="15.75" customHeight="1">
      <c r="R396" s="122"/>
    </row>
    <row r="397" spans="18:18" ht="15.75" customHeight="1">
      <c r="R397" s="122"/>
    </row>
    <row r="398" spans="18:18" ht="15.75" customHeight="1">
      <c r="R398" s="122"/>
    </row>
    <row r="399" spans="18:18" ht="15.75" customHeight="1">
      <c r="R399" s="122"/>
    </row>
    <row r="400" spans="18:18" ht="15.75" customHeight="1">
      <c r="R400" s="122"/>
    </row>
    <row r="401" spans="18:18" ht="15.75" customHeight="1">
      <c r="R401" s="122"/>
    </row>
    <row r="402" spans="18:18" ht="15.75" customHeight="1">
      <c r="R402" s="122"/>
    </row>
    <row r="403" spans="18:18" ht="15.75" customHeight="1">
      <c r="R403" s="122"/>
    </row>
    <row r="404" spans="18:18" ht="15.75" customHeight="1">
      <c r="R404" s="122"/>
    </row>
    <row r="405" spans="18:18" ht="15.75" customHeight="1">
      <c r="R405" s="122"/>
    </row>
    <row r="406" spans="18:18" ht="15.75" customHeight="1">
      <c r="R406" s="122"/>
    </row>
    <row r="407" spans="18:18" ht="15.75" customHeight="1">
      <c r="R407" s="122"/>
    </row>
    <row r="408" spans="18:18" ht="15.75" customHeight="1">
      <c r="R408" s="122"/>
    </row>
    <row r="409" spans="18:18" ht="15.75" customHeight="1">
      <c r="R409" s="122"/>
    </row>
    <row r="410" spans="18:18" ht="15.75" customHeight="1">
      <c r="R410" s="122"/>
    </row>
    <row r="411" spans="18:18" ht="15.75" customHeight="1">
      <c r="R411" s="122"/>
    </row>
    <row r="412" spans="18:18" ht="15.75" customHeight="1">
      <c r="R412" s="122"/>
    </row>
    <row r="413" spans="18:18" ht="15.75" customHeight="1">
      <c r="R413" s="122"/>
    </row>
    <row r="414" spans="18:18" ht="15.75" customHeight="1">
      <c r="R414" s="122"/>
    </row>
    <row r="415" spans="18:18" ht="15.75" customHeight="1">
      <c r="R415" s="122"/>
    </row>
    <row r="416" spans="18:18" ht="15.75" customHeight="1">
      <c r="R416" s="122"/>
    </row>
    <row r="417" spans="18:18" ht="15.75" customHeight="1">
      <c r="R417" s="122"/>
    </row>
    <row r="418" spans="18:18" ht="15.75" customHeight="1">
      <c r="R418" s="122"/>
    </row>
    <row r="419" spans="18:18" ht="15.75" customHeight="1">
      <c r="R419" s="122"/>
    </row>
    <row r="420" spans="18:18" ht="15.75" customHeight="1">
      <c r="R420" s="122"/>
    </row>
    <row r="421" spans="18:18" ht="15.75" customHeight="1">
      <c r="R421" s="122"/>
    </row>
    <row r="422" spans="18:18" ht="15.75" customHeight="1">
      <c r="R422" s="122"/>
    </row>
    <row r="423" spans="18:18" ht="15.75" customHeight="1">
      <c r="R423" s="122"/>
    </row>
    <row r="424" spans="18:18" ht="15.75" customHeight="1">
      <c r="R424" s="122"/>
    </row>
    <row r="425" spans="18:18" ht="15.75" customHeight="1">
      <c r="R425" s="122"/>
    </row>
    <row r="426" spans="18:18" ht="15.75" customHeight="1">
      <c r="R426" s="122"/>
    </row>
    <row r="427" spans="18:18" ht="15.75" customHeight="1">
      <c r="R427" s="122"/>
    </row>
    <row r="428" spans="18:18" ht="15.75" customHeight="1">
      <c r="R428" s="122"/>
    </row>
    <row r="429" spans="18:18" ht="15.75" customHeight="1">
      <c r="R429" s="122"/>
    </row>
    <row r="430" spans="18:18" ht="15.75" customHeight="1">
      <c r="R430" s="122"/>
    </row>
    <row r="431" spans="18:18" ht="15.75" customHeight="1">
      <c r="R431" s="122"/>
    </row>
    <row r="432" spans="18:18" ht="15.75" customHeight="1">
      <c r="R432" s="122"/>
    </row>
    <row r="433" spans="18:18" ht="15.75" customHeight="1">
      <c r="R433" s="122"/>
    </row>
    <row r="434" spans="18:18" ht="15.75" customHeight="1">
      <c r="R434" s="122"/>
    </row>
    <row r="435" spans="18:18" ht="15.75" customHeight="1">
      <c r="R435" s="122"/>
    </row>
    <row r="436" spans="18:18" ht="15.75" customHeight="1">
      <c r="R436" s="122"/>
    </row>
    <row r="437" spans="18:18" ht="15.75" customHeight="1">
      <c r="R437" s="122"/>
    </row>
    <row r="438" spans="18:18" ht="15.75" customHeight="1">
      <c r="R438" s="122"/>
    </row>
    <row r="439" spans="18:18" ht="15.75" customHeight="1">
      <c r="R439" s="122"/>
    </row>
    <row r="440" spans="18:18" ht="15.75" customHeight="1">
      <c r="R440" s="122"/>
    </row>
    <row r="441" spans="18:18" ht="15.75" customHeight="1">
      <c r="R441" s="122"/>
    </row>
    <row r="442" spans="18:18" ht="15.75" customHeight="1">
      <c r="R442" s="122"/>
    </row>
    <row r="443" spans="18:18" ht="15.75" customHeight="1">
      <c r="R443" s="122"/>
    </row>
    <row r="444" spans="18:18" ht="15.75" customHeight="1">
      <c r="R444" s="122"/>
    </row>
    <row r="445" spans="18:18" ht="15.75" customHeight="1">
      <c r="R445" s="122"/>
    </row>
    <row r="446" spans="18:18" ht="15.75" customHeight="1">
      <c r="R446" s="122"/>
    </row>
    <row r="447" spans="18:18" ht="15.75" customHeight="1">
      <c r="R447" s="122"/>
    </row>
    <row r="448" spans="18:18" ht="15.75" customHeight="1">
      <c r="R448" s="122"/>
    </row>
    <row r="449" spans="18:18" ht="15.75" customHeight="1">
      <c r="R449" s="122"/>
    </row>
    <row r="450" spans="18:18" ht="15.75" customHeight="1">
      <c r="R450" s="122"/>
    </row>
    <row r="451" spans="18:18" ht="15.75" customHeight="1">
      <c r="R451" s="122"/>
    </row>
    <row r="452" spans="18:18" ht="15.75" customHeight="1">
      <c r="R452" s="122"/>
    </row>
    <row r="453" spans="18:18" ht="15.75" customHeight="1">
      <c r="R453" s="122"/>
    </row>
    <row r="454" spans="18:18" ht="15.75" customHeight="1">
      <c r="R454" s="122"/>
    </row>
    <row r="455" spans="18:18" ht="15.75" customHeight="1">
      <c r="R455" s="122"/>
    </row>
    <row r="456" spans="18:18" ht="15.75" customHeight="1">
      <c r="R456" s="122"/>
    </row>
    <row r="457" spans="18:18" ht="15.75" customHeight="1">
      <c r="R457" s="122"/>
    </row>
    <row r="458" spans="18:18" ht="15.75" customHeight="1">
      <c r="R458" s="122"/>
    </row>
    <row r="459" spans="18:18" ht="15.75" customHeight="1">
      <c r="R459" s="122"/>
    </row>
    <row r="460" spans="18:18" ht="15.75" customHeight="1">
      <c r="R460" s="122"/>
    </row>
    <row r="461" spans="18:18" ht="15.75" customHeight="1">
      <c r="R461" s="122"/>
    </row>
    <row r="462" spans="18:18" ht="15.75" customHeight="1">
      <c r="R462" s="122"/>
    </row>
    <row r="463" spans="18:18" ht="15.75" customHeight="1">
      <c r="R463" s="122"/>
    </row>
    <row r="464" spans="18:18" ht="15.75" customHeight="1">
      <c r="R464" s="122"/>
    </row>
    <row r="465" spans="18:18" ht="15.75" customHeight="1">
      <c r="R465" s="122"/>
    </row>
    <row r="466" spans="18:18" ht="15.75" customHeight="1">
      <c r="R466" s="122"/>
    </row>
    <row r="467" spans="18:18" ht="15.75" customHeight="1">
      <c r="R467" s="122"/>
    </row>
    <row r="468" spans="18:18" ht="15.75" customHeight="1">
      <c r="R468" s="122"/>
    </row>
    <row r="469" spans="18:18" ht="15.75" customHeight="1">
      <c r="R469" s="122"/>
    </row>
    <row r="470" spans="18:18" ht="15.75" customHeight="1">
      <c r="R470" s="122"/>
    </row>
    <row r="471" spans="18:18" ht="15.75" customHeight="1">
      <c r="R471" s="122"/>
    </row>
    <row r="472" spans="18:18" ht="15.75" customHeight="1">
      <c r="R472" s="122"/>
    </row>
    <row r="473" spans="18:18" ht="15.75" customHeight="1">
      <c r="R473" s="122"/>
    </row>
    <row r="474" spans="18:18" ht="15.75" customHeight="1">
      <c r="R474" s="122"/>
    </row>
    <row r="475" spans="18:18" ht="15.75" customHeight="1">
      <c r="R475" s="122"/>
    </row>
    <row r="476" spans="18:18" ht="15.75" customHeight="1">
      <c r="R476" s="122"/>
    </row>
    <row r="477" spans="18:18" ht="15.75" customHeight="1">
      <c r="R477" s="122"/>
    </row>
    <row r="478" spans="18:18" ht="15.75" customHeight="1">
      <c r="R478" s="122"/>
    </row>
    <row r="479" spans="18:18" ht="15.75" customHeight="1">
      <c r="R479" s="122"/>
    </row>
    <row r="480" spans="18:18" ht="15.75" customHeight="1">
      <c r="R480" s="122"/>
    </row>
    <row r="481" spans="18:18" ht="15.75" customHeight="1">
      <c r="R481" s="122"/>
    </row>
    <row r="482" spans="18:18" ht="15.75" customHeight="1">
      <c r="R482" s="122"/>
    </row>
    <row r="483" spans="18:18" ht="15.75" customHeight="1">
      <c r="R483" s="122"/>
    </row>
    <row r="484" spans="18:18" ht="15.75" customHeight="1">
      <c r="R484" s="122"/>
    </row>
    <row r="485" spans="18:18" ht="15.75" customHeight="1">
      <c r="R485" s="122"/>
    </row>
    <row r="486" spans="18:18" ht="15.75" customHeight="1">
      <c r="R486" s="122"/>
    </row>
    <row r="487" spans="18:18" ht="15.75" customHeight="1">
      <c r="R487" s="122"/>
    </row>
    <row r="488" spans="18:18" ht="15.75" customHeight="1">
      <c r="R488" s="122"/>
    </row>
    <row r="489" spans="18:18" ht="15.75" customHeight="1">
      <c r="R489" s="122"/>
    </row>
    <row r="490" spans="18:18" ht="15.75" customHeight="1">
      <c r="R490" s="122"/>
    </row>
    <row r="491" spans="18:18" ht="15.75" customHeight="1">
      <c r="R491" s="122"/>
    </row>
    <row r="492" spans="18:18" ht="15.75" customHeight="1">
      <c r="R492" s="122"/>
    </row>
    <row r="493" spans="18:18" ht="15.75" customHeight="1">
      <c r="R493" s="122"/>
    </row>
    <row r="494" spans="18:18" ht="15.75" customHeight="1">
      <c r="R494" s="122"/>
    </row>
    <row r="495" spans="18:18" ht="15.75" customHeight="1">
      <c r="R495" s="122"/>
    </row>
    <row r="496" spans="18:18" ht="15.75" customHeight="1">
      <c r="R496" s="122"/>
    </row>
    <row r="497" spans="18:18" ht="15.75" customHeight="1">
      <c r="R497" s="122"/>
    </row>
    <row r="498" spans="18:18" ht="15.75" customHeight="1">
      <c r="R498" s="122"/>
    </row>
    <row r="499" spans="18:18" ht="15.75" customHeight="1">
      <c r="R499" s="122"/>
    </row>
    <row r="500" spans="18:18" ht="15.75" customHeight="1">
      <c r="R500" s="122"/>
    </row>
    <row r="501" spans="18:18" ht="15.75" customHeight="1">
      <c r="R501" s="122"/>
    </row>
    <row r="502" spans="18:18" ht="15.75" customHeight="1">
      <c r="R502" s="122"/>
    </row>
    <row r="503" spans="18:18" ht="15.75" customHeight="1">
      <c r="R503" s="122"/>
    </row>
    <row r="504" spans="18:18" ht="15.75" customHeight="1">
      <c r="R504" s="122"/>
    </row>
    <row r="505" spans="18:18" ht="15.75" customHeight="1">
      <c r="R505" s="122"/>
    </row>
    <row r="506" spans="18:18" ht="15.75" customHeight="1">
      <c r="R506" s="122"/>
    </row>
    <row r="507" spans="18:18" ht="15.75" customHeight="1">
      <c r="R507" s="122"/>
    </row>
    <row r="508" spans="18:18" ht="15.75" customHeight="1">
      <c r="R508" s="122"/>
    </row>
    <row r="509" spans="18:18" ht="15.75" customHeight="1">
      <c r="R509" s="122"/>
    </row>
    <row r="510" spans="18:18" ht="15.75" customHeight="1">
      <c r="R510" s="122"/>
    </row>
    <row r="511" spans="18:18" ht="15.75" customHeight="1">
      <c r="R511" s="122"/>
    </row>
    <row r="512" spans="18:18" ht="15.75" customHeight="1">
      <c r="R512" s="122"/>
    </row>
    <row r="513" spans="18:18" ht="15.75" customHeight="1">
      <c r="R513" s="122"/>
    </row>
    <row r="514" spans="18:18" ht="15.75" customHeight="1">
      <c r="R514" s="122"/>
    </row>
    <row r="515" spans="18:18" ht="15.75" customHeight="1">
      <c r="R515" s="122"/>
    </row>
    <row r="516" spans="18:18" ht="15.75" customHeight="1">
      <c r="R516" s="122"/>
    </row>
    <row r="517" spans="18:18" ht="15.75" customHeight="1">
      <c r="R517" s="122"/>
    </row>
    <row r="518" spans="18:18" ht="15.75" customHeight="1">
      <c r="R518" s="122"/>
    </row>
    <row r="519" spans="18:18" ht="15.75" customHeight="1">
      <c r="R519" s="122"/>
    </row>
    <row r="520" spans="18:18" ht="15.75" customHeight="1">
      <c r="R520" s="122"/>
    </row>
    <row r="521" spans="18:18" ht="15.75" customHeight="1">
      <c r="R521" s="122"/>
    </row>
    <row r="522" spans="18:18" ht="15.75" customHeight="1">
      <c r="R522" s="122"/>
    </row>
    <row r="523" spans="18:18" ht="15.75" customHeight="1">
      <c r="R523" s="122"/>
    </row>
    <row r="524" spans="18:18" ht="15.75" customHeight="1">
      <c r="R524" s="122"/>
    </row>
    <row r="525" spans="18:18" ht="15.75" customHeight="1">
      <c r="R525" s="122"/>
    </row>
    <row r="526" spans="18:18" ht="15.75" customHeight="1">
      <c r="R526" s="122"/>
    </row>
    <row r="527" spans="18:18" ht="15.75" customHeight="1">
      <c r="R527" s="122"/>
    </row>
    <row r="528" spans="18:18" ht="15.75" customHeight="1">
      <c r="R528" s="122"/>
    </row>
    <row r="529" spans="18:18" ht="15.75" customHeight="1">
      <c r="R529" s="122"/>
    </row>
    <row r="530" spans="18:18" ht="15.75" customHeight="1">
      <c r="R530" s="122"/>
    </row>
    <row r="531" spans="18:18" ht="15.75" customHeight="1">
      <c r="R531" s="122"/>
    </row>
    <row r="532" spans="18:18" ht="15.75" customHeight="1">
      <c r="R532" s="122"/>
    </row>
    <row r="533" spans="18:18" ht="15.75" customHeight="1">
      <c r="R533" s="122"/>
    </row>
    <row r="534" spans="18:18" ht="15.75" customHeight="1">
      <c r="R534" s="122"/>
    </row>
    <row r="535" spans="18:18" ht="15.75" customHeight="1">
      <c r="R535" s="122"/>
    </row>
    <row r="536" spans="18:18" ht="15.75" customHeight="1">
      <c r="R536" s="122"/>
    </row>
    <row r="537" spans="18:18" ht="15.75" customHeight="1">
      <c r="R537" s="122"/>
    </row>
    <row r="538" spans="18:18" ht="15.75" customHeight="1">
      <c r="R538" s="122"/>
    </row>
    <row r="539" spans="18:18" ht="15.75" customHeight="1">
      <c r="R539" s="122"/>
    </row>
    <row r="540" spans="18:18" ht="15.75" customHeight="1">
      <c r="R540" s="122"/>
    </row>
    <row r="541" spans="18:18" ht="15.75" customHeight="1">
      <c r="R541" s="122"/>
    </row>
    <row r="542" spans="18:18" ht="15.75" customHeight="1">
      <c r="R542" s="122"/>
    </row>
    <row r="543" spans="18:18" ht="15.75" customHeight="1">
      <c r="R543" s="122"/>
    </row>
    <row r="544" spans="18:18" ht="15.75" customHeight="1">
      <c r="R544" s="122"/>
    </row>
    <row r="545" spans="18:18" ht="15.75" customHeight="1">
      <c r="R545" s="122"/>
    </row>
    <row r="546" spans="18:18" ht="15.75" customHeight="1">
      <c r="R546" s="122"/>
    </row>
    <row r="547" spans="18:18" ht="15.75" customHeight="1">
      <c r="R547" s="122"/>
    </row>
    <row r="548" spans="18:18" ht="15.75" customHeight="1">
      <c r="R548" s="122"/>
    </row>
    <row r="549" spans="18:18" ht="15.75" customHeight="1">
      <c r="R549" s="122"/>
    </row>
    <row r="550" spans="18:18" ht="15.75" customHeight="1">
      <c r="R550" s="122"/>
    </row>
    <row r="551" spans="18:18" ht="15.75" customHeight="1">
      <c r="R551" s="122"/>
    </row>
    <row r="552" spans="18:18" ht="15.75" customHeight="1">
      <c r="R552" s="122"/>
    </row>
    <row r="553" spans="18:18" ht="15.75" customHeight="1">
      <c r="R553" s="122"/>
    </row>
    <row r="554" spans="18:18" ht="15.75" customHeight="1">
      <c r="R554" s="122"/>
    </row>
    <row r="555" spans="18:18" ht="15.75" customHeight="1">
      <c r="R555" s="122"/>
    </row>
    <row r="556" spans="18:18" ht="15.75" customHeight="1">
      <c r="R556" s="122"/>
    </row>
    <row r="557" spans="18:18" ht="15.75" customHeight="1">
      <c r="R557" s="122"/>
    </row>
    <row r="558" spans="18:18" ht="15.75" customHeight="1">
      <c r="R558" s="122"/>
    </row>
    <row r="559" spans="18:18" ht="15.75" customHeight="1">
      <c r="R559" s="122"/>
    </row>
    <row r="560" spans="18:18" ht="15.75" customHeight="1">
      <c r="R560" s="122"/>
    </row>
    <row r="561" spans="18:18" ht="15.75" customHeight="1">
      <c r="R561" s="122"/>
    </row>
    <row r="562" spans="18:18" ht="15.75" customHeight="1">
      <c r="R562" s="122"/>
    </row>
    <row r="563" spans="18:18" ht="15.75" customHeight="1">
      <c r="R563" s="122"/>
    </row>
    <row r="564" spans="18:18" ht="15.75" customHeight="1">
      <c r="R564" s="122"/>
    </row>
    <row r="565" spans="18:18" ht="15.75" customHeight="1">
      <c r="R565" s="122"/>
    </row>
    <row r="566" spans="18:18" ht="15.75" customHeight="1">
      <c r="R566" s="122"/>
    </row>
    <row r="567" spans="18:18" ht="15.75" customHeight="1">
      <c r="R567" s="122"/>
    </row>
    <row r="568" spans="18:18" ht="15.75" customHeight="1">
      <c r="R568" s="122"/>
    </row>
    <row r="569" spans="18:18" ht="15.75" customHeight="1">
      <c r="R569" s="122"/>
    </row>
    <row r="570" spans="18:18" ht="15.75" customHeight="1">
      <c r="R570" s="122"/>
    </row>
    <row r="571" spans="18:18" ht="15.75" customHeight="1">
      <c r="R571" s="122"/>
    </row>
    <row r="572" spans="18:18" ht="15.75" customHeight="1">
      <c r="R572" s="122"/>
    </row>
    <row r="573" spans="18:18" ht="15.75" customHeight="1">
      <c r="R573" s="122"/>
    </row>
    <row r="574" spans="18:18" ht="15.75" customHeight="1">
      <c r="R574" s="122"/>
    </row>
    <row r="575" spans="18:18" ht="15.75" customHeight="1">
      <c r="R575" s="122"/>
    </row>
    <row r="576" spans="18:18" ht="15.75" customHeight="1">
      <c r="R576" s="122"/>
    </row>
    <row r="577" spans="18:18" ht="15.75" customHeight="1">
      <c r="R577" s="122"/>
    </row>
    <row r="578" spans="18:18" ht="15.75" customHeight="1">
      <c r="R578" s="122"/>
    </row>
    <row r="579" spans="18:18" ht="15.75" customHeight="1">
      <c r="R579" s="122"/>
    </row>
    <row r="580" spans="18:18" ht="15.75" customHeight="1">
      <c r="R580" s="122"/>
    </row>
    <row r="581" spans="18:18" ht="15.75" customHeight="1">
      <c r="R581" s="122"/>
    </row>
    <row r="582" spans="18:18" ht="15.75" customHeight="1">
      <c r="R582" s="122"/>
    </row>
    <row r="583" spans="18:18" ht="15.75" customHeight="1">
      <c r="R583" s="122"/>
    </row>
    <row r="584" spans="18:18" ht="15.75" customHeight="1">
      <c r="R584" s="122"/>
    </row>
    <row r="585" spans="18:18" ht="15.75" customHeight="1">
      <c r="R585" s="122"/>
    </row>
    <row r="586" spans="18:18" ht="15.75" customHeight="1">
      <c r="R586" s="122"/>
    </row>
    <row r="587" spans="18:18" ht="15.75" customHeight="1">
      <c r="R587" s="122"/>
    </row>
    <row r="588" spans="18:18" ht="15.75" customHeight="1">
      <c r="R588" s="122"/>
    </row>
    <row r="589" spans="18:18" ht="15.75" customHeight="1">
      <c r="R589" s="122"/>
    </row>
    <row r="590" spans="18:18" ht="15.75" customHeight="1">
      <c r="R590" s="122"/>
    </row>
    <row r="591" spans="18:18" ht="15.75" customHeight="1">
      <c r="R591" s="122"/>
    </row>
    <row r="592" spans="18:18" ht="15.75" customHeight="1">
      <c r="R592" s="122"/>
    </row>
    <row r="593" spans="18:18" ht="15.75" customHeight="1">
      <c r="R593" s="122"/>
    </row>
    <row r="594" spans="18:18" ht="15.75" customHeight="1">
      <c r="R594" s="122"/>
    </row>
    <row r="595" spans="18:18" ht="15.75" customHeight="1">
      <c r="R595" s="122"/>
    </row>
    <row r="596" spans="18:18" ht="15.75" customHeight="1">
      <c r="R596" s="122"/>
    </row>
    <row r="597" spans="18:18" ht="15.75" customHeight="1">
      <c r="R597" s="122"/>
    </row>
    <row r="598" spans="18:18" ht="15.75" customHeight="1">
      <c r="R598" s="122"/>
    </row>
    <row r="599" spans="18:18" ht="15.75" customHeight="1">
      <c r="R599" s="122"/>
    </row>
    <row r="600" spans="18:18" ht="15.75" customHeight="1">
      <c r="R600" s="122"/>
    </row>
    <row r="601" spans="18:18" ht="15.75" customHeight="1">
      <c r="R601" s="122"/>
    </row>
    <row r="602" spans="18:18" ht="15.75" customHeight="1">
      <c r="R602" s="122"/>
    </row>
    <row r="603" spans="18:18" ht="15.75" customHeight="1">
      <c r="R603" s="122"/>
    </row>
    <row r="604" spans="18:18" ht="15.75" customHeight="1">
      <c r="R604" s="122"/>
    </row>
    <row r="605" spans="18:18" ht="15.75" customHeight="1">
      <c r="R605" s="122"/>
    </row>
    <row r="606" spans="18:18" ht="15.75" customHeight="1">
      <c r="R606" s="122"/>
    </row>
    <row r="607" spans="18:18" ht="15.75" customHeight="1">
      <c r="R607" s="122"/>
    </row>
    <row r="608" spans="18:18" ht="15.75" customHeight="1">
      <c r="R608" s="122"/>
    </row>
    <row r="609" spans="18:18" ht="15.75" customHeight="1">
      <c r="R609" s="122"/>
    </row>
    <row r="610" spans="18:18" ht="15.75" customHeight="1">
      <c r="R610" s="122"/>
    </row>
    <row r="611" spans="18:18" ht="15.75" customHeight="1">
      <c r="R611" s="122"/>
    </row>
    <row r="612" spans="18:18" ht="15.75" customHeight="1">
      <c r="R612" s="122"/>
    </row>
    <row r="613" spans="18:18" ht="15.75" customHeight="1">
      <c r="R613" s="122"/>
    </row>
    <row r="614" spans="18:18" ht="15.75" customHeight="1">
      <c r="R614" s="122"/>
    </row>
    <row r="615" spans="18:18" ht="15.75" customHeight="1">
      <c r="R615" s="122"/>
    </row>
    <row r="616" spans="18:18" ht="15.75" customHeight="1">
      <c r="R616" s="122"/>
    </row>
    <row r="617" spans="18:18" ht="15.75" customHeight="1">
      <c r="R617" s="122"/>
    </row>
    <row r="618" spans="18:18" ht="15.75" customHeight="1">
      <c r="R618" s="122"/>
    </row>
    <row r="619" spans="18:18" ht="15.75" customHeight="1">
      <c r="R619" s="122"/>
    </row>
    <row r="620" spans="18:18" ht="15.75" customHeight="1">
      <c r="R620" s="122"/>
    </row>
    <row r="621" spans="18:18" ht="15.75" customHeight="1">
      <c r="R621" s="122"/>
    </row>
    <row r="622" spans="18:18" ht="15.75" customHeight="1">
      <c r="R622" s="122"/>
    </row>
    <row r="623" spans="18:18" ht="15.75" customHeight="1">
      <c r="R623" s="122"/>
    </row>
    <row r="624" spans="18:18" ht="15.75" customHeight="1">
      <c r="R624" s="122"/>
    </row>
    <row r="625" spans="18:18" ht="15.75" customHeight="1">
      <c r="R625" s="122"/>
    </row>
    <row r="626" spans="18:18" ht="15.75" customHeight="1">
      <c r="R626" s="122"/>
    </row>
    <row r="627" spans="18:18" ht="15.75" customHeight="1">
      <c r="R627" s="122"/>
    </row>
    <row r="628" spans="18:18" ht="15.75" customHeight="1">
      <c r="R628" s="122"/>
    </row>
    <row r="629" spans="18:18" ht="15.75" customHeight="1">
      <c r="R629" s="122"/>
    </row>
    <row r="630" spans="18:18" ht="15.75" customHeight="1">
      <c r="R630" s="122"/>
    </row>
    <row r="631" spans="18:18" ht="15.75" customHeight="1">
      <c r="R631" s="122"/>
    </row>
    <row r="632" spans="18:18" ht="15.75" customHeight="1">
      <c r="R632" s="122"/>
    </row>
    <row r="633" spans="18:18" ht="15.75" customHeight="1">
      <c r="R633" s="122"/>
    </row>
    <row r="634" spans="18:18" ht="15.75" customHeight="1">
      <c r="R634" s="122"/>
    </row>
    <row r="635" spans="18:18" ht="15.75" customHeight="1">
      <c r="R635" s="122"/>
    </row>
    <row r="636" spans="18:18" ht="15.75" customHeight="1">
      <c r="R636" s="122"/>
    </row>
    <row r="637" spans="18:18" ht="15.75" customHeight="1">
      <c r="R637" s="122"/>
    </row>
    <row r="638" spans="18:18" ht="15.75" customHeight="1">
      <c r="R638" s="122"/>
    </row>
    <row r="639" spans="18:18" ht="15.75" customHeight="1">
      <c r="R639" s="122"/>
    </row>
    <row r="640" spans="18:18" ht="15.75" customHeight="1">
      <c r="R640" s="122"/>
    </row>
    <row r="641" spans="18:18" ht="15.75" customHeight="1">
      <c r="R641" s="122"/>
    </row>
    <row r="642" spans="18:18" ht="15.75" customHeight="1">
      <c r="R642" s="122"/>
    </row>
    <row r="643" spans="18:18" ht="15.75" customHeight="1">
      <c r="R643" s="122"/>
    </row>
    <row r="644" spans="18:18" ht="15.75" customHeight="1">
      <c r="R644" s="122"/>
    </row>
    <row r="645" spans="18:18" ht="15.75" customHeight="1">
      <c r="R645" s="122"/>
    </row>
    <row r="646" spans="18:18" ht="15.75" customHeight="1">
      <c r="R646" s="122"/>
    </row>
    <row r="647" spans="18:18" ht="15.75" customHeight="1">
      <c r="R647" s="122"/>
    </row>
    <row r="648" spans="18:18" ht="15.75" customHeight="1">
      <c r="R648" s="122"/>
    </row>
    <row r="649" spans="18:18" ht="15.75" customHeight="1">
      <c r="R649" s="122"/>
    </row>
    <row r="650" spans="18:18" ht="15.75" customHeight="1">
      <c r="R650" s="122"/>
    </row>
    <row r="651" spans="18:18" ht="15.75" customHeight="1">
      <c r="R651" s="122"/>
    </row>
    <row r="652" spans="18:18" ht="15.75" customHeight="1">
      <c r="R652" s="122"/>
    </row>
    <row r="653" spans="18:18" ht="15.75" customHeight="1">
      <c r="R653" s="122"/>
    </row>
    <row r="654" spans="18:18" ht="15.75" customHeight="1">
      <c r="R654" s="122"/>
    </row>
    <row r="655" spans="18:18" ht="15.75" customHeight="1">
      <c r="R655" s="122"/>
    </row>
    <row r="656" spans="18:18" ht="15.75" customHeight="1">
      <c r="R656" s="122"/>
    </row>
    <row r="657" spans="18:18" ht="15.75" customHeight="1">
      <c r="R657" s="122"/>
    </row>
    <row r="658" spans="18:18" ht="15.75" customHeight="1">
      <c r="R658" s="122"/>
    </row>
    <row r="659" spans="18:18" ht="15.75" customHeight="1">
      <c r="R659" s="122"/>
    </row>
    <row r="660" spans="18:18" ht="15.75" customHeight="1">
      <c r="R660" s="122"/>
    </row>
    <row r="661" spans="18:18" ht="15.75" customHeight="1">
      <c r="R661" s="122"/>
    </row>
    <row r="662" spans="18:18" ht="15.75" customHeight="1">
      <c r="R662" s="122"/>
    </row>
    <row r="663" spans="18:18" ht="15.75" customHeight="1">
      <c r="R663" s="122"/>
    </row>
    <row r="664" spans="18:18" ht="15.75" customHeight="1">
      <c r="R664" s="122"/>
    </row>
    <row r="665" spans="18:18" ht="15.75" customHeight="1">
      <c r="R665" s="122"/>
    </row>
    <row r="666" spans="18:18" ht="15.75" customHeight="1">
      <c r="R666" s="122"/>
    </row>
    <row r="667" spans="18:18" ht="15.75" customHeight="1">
      <c r="R667" s="122"/>
    </row>
    <row r="668" spans="18:18" ht="15.75" customHeight="1">
      <c r="R668" s="122"/>
    </row>
    <row r="669" spans="18:18" ht="15.75" customHeight="1">
      <c r="R669" s="122"/>
    </row>
    <row r="670" spans="18:18" ht="15.75" customHeight="1">
      <c r="R670" s="122"/>
    </row>
    <row r="671" spans="18:18" ht="15.75" customHeight="1">
      <c r="R671" s="122"/>
    </row>
    <row r="672" spans="18:18" ht="15.75" customHeight="1">
      <c r="R672" s="122"/>
    </row>
    <row r="673" spans="18:18" ht="15.75" customHeight="1">
      <c r="R673" s="122"/>
    </row>
    <row r="674" spans="18:18" ht="15.75" customHeight="1">
      <c r="R674" s="122"/>
    </row>
    <row r="675" spans="18:18" ht="15.75" customHeight="1">
      <c r="R675" s="122"/>
    </row>
    <row r="676" spans="18:18" ht="15.75" customHeight="1">
      <c r="R676" s="122"/>
    </row>
    <row r="677" spans="18:18" ht="15.75" customHeight="1">
      <c r="R677" s="122"/>
    </row>
    <row r="678" spans="18:18" ht="15.75" customHeight="1">
      <c r="R678" s="122"/>
    </row>
    <row r="679" spans="18:18" ht="15.75" customHeight="1">
      <c r="R679" s="122"/>
    </row>
    <row r="680" spans="18:18" ht="15.75" customHeight="1">
      <c r="R680" s="122"/>
    </row>
    <row r="681" spans="18:18" ht="15.75" customHeight="1">
      <c r="R681" s="122"/>
    </row>
    <row r="682" spans="18:18" ht="15.75" customHeight="1">
      <c r="R682" s="122"/>
    </row>
    <row r="683" spans="18:18" ht="15.75" customHeight="1">
      <c r="R683" s="122"/>
    </row>
    <row r="684" spans="18:18" ht="15.75" customHeight="1">
      <c r="R684" s="122"/>
    </row>
    <row r="685" spans="18:18" ht="15.75" customHeight="1">
      <c r="R685" s="122"/>
    </row>
    <row r="686" spans="18:18" ht="15.75" customHeight="1">
      <c r="R686" s="122"/>
    </row>
    <row r="687" spans="18:18" ht="15.75" customHeight="1">
      <c r="R687" s="122"/>
    </row>
    <row r="688" spans="18:18" ht="15.75" customHeight="1">
      <c r="R688" s="122"/>
    </row>
    <row r="689" spans="18:18" ht="15.75" customHeight="1">
      <c r="R689" s="122"/>
    </row>
    <row r="690" spans="18:18" ht="15.75" customHeight="1">
      <c r="R690" s="122"/>
    </row>
    <row r="691" spans="18:18" ht="15.75" customHeight="1">
      <c r="R691" s="122"/>
    </row>
    <row r="692" spans="18:18" ht="15.75" customHeight="1">
      <c r="R692" s="122"/>
    </row>
    <row r="693" spans="18:18" ht="15.75" customHeight="1">
      <c r="R693" s="122"/>
    </row>
    <row r="694" spans="18:18" ht="15.75" customHeight="1">
      <c r="R694" s="122"/>
    </row>
    <row r="695" spans="18:18" ht="15.75" customHeight="1">
      <c r="R695" s="122"/>
    </row>
    <row r="696" spans="18:18" ht="15.75" customHeight="1">
      <c r="R696" s="122"/>
    </row>
    <row r="697" spans="18:18" ht="15.75" customHeight="1">
      <c r="R697" s="122"/>
    </row>
    <row r="698" spans="18:18" ht="15.75" customHeight="1">
      <c r="R698" s="122"/>
    </row>
    <row r="699" spans="18:18" ht="15.75" customHeight="1">
      <c r="R699" s="122"/>
    </row>
    <row r="700" spans="18:18" ht="15.75" customHeight="1">
      <c r="R700" s="122"/>
    </row>
    <row r="701" spans="18:18" ht="15.75" customHeight="1">
      <c r="R701" s="122"/>
    </row>
    <row r="702" spans="18:18" ht="15.75" customHeight="1">
      <c r="R702" s="122"/>
    </row>
    <row r="703" spans="18:18" ht="15.75" customHeight="1">
      <c r="R703" s="122"/>
    </row>
    <row r="704" spans="18:18" ht="15.75" customHeight="1">
      <c r="R704" s="122"/>
    </row>
    <row r="705" spans="18:18" ht="15.75" customHeight="1">
      <c r="R705" s="122"/>
    </row>
    <row r="706" spans="18:18" ht="15.75" customHeight="1">
      <c r="R706" s="122"/>
    </row>
    <row r="707" spans="18:18" ht="15.75" customHeight="1">
      <c r="R707" s="122"/>
    </row>
    <row r="708" spans="18:18" ht="15.75" customHeight="1">
      <c r="R708" s="122"/>
    </row>
    <row r="709" spans="18:18" ht="15.75" customHeight="1">
      <c r="R709" s="122"/>
    </row>
    <row r="710" spans="18:18" ht="15.75" customHeight="1">
      <c r="R710" s="122"/>
    </row>
    <row r="711" spans="18:18" ht="15.75" customHeight="1">
      <c r="R711" s="122"/>
    </row>
    <row r="712" spans="18:18" ht="15.75" customHeight="1">
      <c r="R712" s="122"/>
    </row>
    <row r="713" spans="18:18" ht="15.75" customHeight="1">
      <c r="R713" s="122"/>
    </row>
    <row r="714" spans="18:18" ht="15.75" customHeight="1">
      <c r="R714" s="122"/>
    </row>
    <row r="715" spans="18:18" ht="15.75" customHeight="1">
      <c r="R715" s="122"/>
    </row>
    <row r="716" spans="18:18" ht="15.75" customHeight="1">
      <c r="R716" s="122"/>
    </row>
    <row r="717" spans="18:18" ht="15.75" customHeight="1">
      <c r="R717" s="122"/>
    </row>
    <row r="718" spans="18:18" ht="15.75" customHeight="1">
      <c r="R718" s="122"/>
    </row>
    <row r="719" spans="18:18" ht="15.75" customHeight="1">
      <c r="R719" s="122"/>
    </row>
    <row r="720" spans="18:18" ht="15.75" customHeight="1">
      <c r="R720" s="122"/>
    </row>
    <row r="721" spans="18:18" ht="15.75" customHeight="1">
      <c r="R721" s="122"/>
    </row>
    <row r="722" spans="18:18" ht="15.75" customHeight="1">
      <c r="R722" s="122"/>
    </row>
    <row r="723" spans="18:18" ht="15.75" customHeight="1">
      <c r="R723" s="122"/>
    </row>
    <row r="724" spans="18:18" ht="15.75" customHeight="1">
      <c r="R724" s="122"/>
    </row>
    <row r="725" spans="18:18" ht="15.75" customHeight="1">
      <c r="R725" s="122"/>
    </row>
    <row r="726" spans="18:18" ht="15.75" customHeight="1">
      <c r="R726" s="122"/>
    </row>
    <row r="727" spans="18:18" ht="15.75" customHeight="1">
      <c r="R727" s="122"/>
    </row>
    <row r="728" spans="18:18" ht="15.75" customHeight="1">
      <c r="R728" s="122"/>
    </row>
    <row r="729" spans="18:18" ht="15.75" customHeight="1">
      <c r="R729" s="122"/>
    </row>
    <row r="730" spans="18:18" ht="15.75" customHeight="1">
      <c r="R730" s="122"/>
    </row>
    <row r="731" spans="18:18" ht="15.75" customHeight="1">
      <c r="R731" s="122"/>
    </row>
    <row r="732" spans="18:18" ht="15.75" customHeight="1">
      <c r="R732" s="122"/>
    </row>
    <row r="733" spans="18:18" ht="15.75" customHeight="1">
      <c r="R733" s="122"/>
    </row>
    <row r="734" spans="18:18" ht="15.75" customHeight="1">
      <c r="R734" s="122"/>
    </row>
    <row r="735" spans="18:18" ht="15.75" customHeight="1">
      <c r="R735" s="122"/>
    </row>
    <row r="736" spans="18:18" ht="15.75" customHeight="1">
      <c r="R736" s="122"/>
    </row>
    <row r="737" spans="18:18" ht="15.75" customHeight="1">
      <c r="R737" s="122"/>
    </row>
    <row r="738" spans="18:18" ht="15.75" customHeight="1">
      <c r="R738" s="122"/>
    </row>
    <row r="739" spans="18:18" ht="15.75" customHeight="1">
      <c r="R739" s="122"/>
    </row>
    <row r="740" spans="18:18" ht="15.75" customHeight="1">
      <c r="R740" s="122"/>
    </row>
    <row r="741" spans="18:18" ht="15.75" customHeight="1">
      <c r="R741" s="122"/>
    </row>
    <row r="742" spans="18:18" ht="15.75" customHeight="1">
      <c r="R742" s="122"/>
    </row>
    <row r="743" spans="18:18" ht="15.75" customHeight="1">
      <c r="R743" s="122"/>
    </row>
    <row r="744" spans="18:18" ht="15.75" customHeight="1">
      <c r="R744" s="122"/>
    </row>
    <row r="745" spans="18:18" ht="15.75" customHeight="1">
      <c r="R745" s="122"/>
    </row>
    <row r="746" spans="18:18" ht="15.75" customHeight="1">
      <c r="R746" s="122"/>
    </row>
    <row r="747" spans="18:18" ht="15.75" customHeight="1">
      <c r="R747" s="122"/>
    </row>
    <row r="748" spans="18:18" ht="15.75" customHeight="1">
      <c r="R748" s="122"/>
    </row>
    <row r="749" spans="18:18" ht="15.75" customHeight="1">
      <c r="R749" s="122"/>
    </row>
    <row r="750" spans="18:18" ht="15.75" customHeight="1">
      <c r="R750" s="122"/>
    </row>
    <row r="751" spans="18:18" ht="15.75" customHeight="1">
      <c r="R751" s="122"/>
    </row>
    <row r="752" spans="18:18" ht="15.75" customHeight="1">
      <c r="R752" s="122"/>
    </row>
    <row r="753" spans="18:18" ht="15.75" customHeight="1">
      <c r="R753" s="122"/>
    </row>
    <row r="754" spans="18:18" ht="15.75" customHeight="1">
      <c r="R754" s="122"/>
    </row>
    <row r="755" spans="18:18" ht="15.75" customHeight="1">
      <c r="R755" s="122"/>
    </row>
    <row r="756" spans="18:18" ht="15.75" customHeight="1">
      <c r="R756" s="122"/>
    </row>
    <row r="757" spans="18:18" ht="15.75" customHeight="1">
      <c r="R757" s="122"/>
    </row>
    <row r="758" spans="18:18" ht="15.75" customHeight="1">
      <c r="R758" s="122"/>
    </row>
    <row r="759" spans="18:18" ht="15.75" customHeight="1">
      <c r="R759" s="122"/>
    </row>
    <row r="760" spans="18:18" ht="15.75" customHeight="1">
      <c r="R760" s="122"/>
    </row>
    <row r="761" spans="18:18" ht="15.75" customHeight="1">
      <c r="R761" s="122"/>
    </row>
    <row r="762" spans="18:18" ht="15.75" customHeight="1">
      <c r="R762" s="122"/>
    </row>
    <row r="763" spans="18:18" ht="15.75" customHeight="1">
      <c r="R763" s="122"/>
    </row>
    <row r="764" spans="18:18" ht="15.75" customHeight="1">
      <c r="R764" s="122"/>
    </row>
    <row r="765" spans="18:18" ht="15.75" customHeight="1">
      <c r="R765" s="122"/>
    </row>
    <row r="766" spans="18:18" ht="15.75" customHeight="1">
      <c r="R766" s="122"/>
    </row>
    <row r="767" spans="18:18" ht="15.75" customHeight="1">
      <c r="R767" s="122"/>
    </row>
    <row r="768" spans="18:18" ht="15.75" customHeight="1">
      <c r="R768" s="122"/>
    </row>
    <row r="769" spans="18:18" ht="15.75" customHeight="1">
      <c r="R769" s="122"/>
    </row>
    <row r="770" spans="18:18" ht="15.75" customHeight="1">
      <c r="R770" s="122"/>
    </row>
    <row r="771" spans="18:18" ht="15.75" customHeight="1">
      <c r="R771" s="122"/>
    </row>
    <row r="772" spans="18:18" ht="15.75" customHeight="1">
      <c r="R772" s="122"/>
    </row>
    <row r="773" spans="18:18" ht="15.75" customHeight="1">
      <c r="R773" s="122"/>
    </row>
    <row r="774" spans="18:18" ht="15.75" customHeight="1">
      <c r="R774" s="122"/>
    </row>
    <row r="775" spans="18:18" ht="15.75" customHeight="1">
      <c r="R775" s="122"/>
    </row>
    <row r="776" spans="18:18" ht="15.75" customHeight="1">
      <c r="R776" s="122"/>
    </row>
    <row r="777" spans="18:18" ht="15.75" customHeight="1">
      <c r="R777" s="122"/>
    </row>
    <row r="778" spans="18:18" ht="15.75" customHeight="1">
      <c r="R778" s="122"/>
    </row>
    <row r="779" spans="18:18" ht="15.75" customHeight="1">
      <c r="R779" s="122"/>
    </row>
    <row r="780" spans="18:18" ht="15.75" customHeight="1">
      <c r="R780" s="122"/>
    </row>
    <row r="781" spans="18:18" ht="15.75" customHeight="1">
      <c r="R781" s="122"/>
    </row>
    <row r="782" spans="18:18" ht="15.75" customHeight="1">
      <c r="R782" s="122"/>
    </row>
    <row r="783" spans="18:18" ht="15.75" customHeight="1">
      <c r="R783" s="122"/>
    </row>
    <row r="784" spans="18:18" ht="15.75" customHeight="1">
      <c r="R784" s="122"/>
    </row>
    <row r="785" spans="18:18" ht="15.75" customHeight="1">
      <c r="R785" s="122"/>
    </row>
    <row r="786" spans="18:18" ht="15.75" customHeight="1">
      <c r="R786" s="122"/>
    </row>
    <row r="787" spans="18:18" ht="15.75" customHeight="1">
      <c r="R787" s="122"/>
    </row>
    <row r="788" spans="18:18" ht="15.75" customHeight="1">
      <c r="R788" s="122"/>
    </row>
    <row r="789" spans="18:18" ht="15.75" customHeight="1">
      <c r="R789" s="122"/>
    </row>
    <row r="790" spans="18:18" ht="15.75" customHeight="1">
      <c r="R790" s="122"/>
    </row>
    <row r="791" spans="18:18" ht="15.75" customHeight="1">
      <c r="R791" s="122"/>
    </row>
    <row r="792" spans="18:18" ht="15.75" customHeight="1">
      <c r="R792" s="122"/>
    </row>
    <row r="793" spans="18:18" ht="15.75" customHeight="1">
      <c r="R793" s="122"/>
    </row>
    <row r="794" spans="18:18" ht="15.75" customHeight="1">
      <c r="R794" s="122"/>
    </row>
    <row r="795" spans="18:18" ht="15.75" customHeight="1">
      <c r="R795" s="122"/>
    </row>
    <row r="796" spans="18:18" ht="15.75" customHeight="1">
      <c r="R796" s="122"/>
    </row>
    <row r="797" spans="18:18" ht="15.75" customHeight="1">
      <c r="R797" s="122"/>
    </row>
    <row r="798" spans="18:18" ht="15.75" customHeight="1">
      <c r="R798" s="122"/>
    </row>
    <row r="799" spans="18:18" ht="15.75" customHeight="1">
      <c r="R799" s="122"/>
    </row>
    <row r="800" spans="18:18" ht="15.75" customHeight="1">
      <c r="R800" s="122"/>
    </row>
    <row r="801" spans="18:18" ht="15.75" customHeight="1">
      <c r="R801" s="122"/>
    </row>
    <row r="802" spans="18:18" ht="15.75" customHeight="1">
      <c r="R802" s="122"/>
    </row>
    <row r="803" spans="18:18" ht="15.75" customHeight="1">
      <c r="R803" s="122"/>
    </row>
    <row r="804" spans="18:18" ht="15.75" customHeight="1">
      <c r="R804" s="122"/>
    </row>
    <row r="805" spans="18:18" ht="15.75" customHeight="1">
      <c r="R805" s="122"/>
    </row>
    <row r="806" spans="18:18" ht="15.75" customHeight="1">
      <c r="R806" s="122"/>
    </row>
    <row r="807" spans="18:18" ht="15.75" customHeight="1">
      <c r="R807" s="122"/>
    </row>
    <row r="808" spans="18:18" ht="15.75" customHeight="1">
      <c r="R808" s="122"/>
    </row>
    <row r="809" spans="18:18" ht="15.75" customHeight="1">
      <c r="R809" s="122"/>
    </row>
    <row r="810" spans="18:18" ht="15.75" customHeight="1">
      <c r="R810" s="122"/>
    </row>
    <row r="811" spans="18:18" ht="15.75" customHeight="1">
      <c r="R811" s="122"/>
    </row>
    <row r="812" spans="18:18" ht="15.75" customHeight="1">
      <c r="R812" s="122"/>
    </row>
    <row r="813" spans="18:18" ht="15.75" customHeight="1">
      <c r="R813" s="122"/>
    </row>
    <row r="814" spans="18:18" ht="15.75" customHeight="1">
      <c r="R814" s="122"/>
    </row>
    <row r="815" spans="18:18" ht="15.75" customHeight="1">
      <c r="R815" s="122"/>
    </row>
    <row r="816" spans="18:18" ht="15.75" customHeight="1">
      <c r="R816" s="122"/>
    </row>
    <row r="817" spans="18:18" ht="15.75" customHeight="1">
      <c r="R817" s="122"/>
    </row>
    <row r="818" spans="18:18" ht="15.75" customHeight="1">
      <c r="R818" s="122"/>
    </row>
    <row r="819" spans="18:18" ht="15.75" customHeight="1">
      <c r="R819" s="122"/>
    </row>
    <row r="820" spans="18:18" ht="15.75" customHeight="1">
      <c r="R820" s="122"/>
    </row>
    <row r="821" spans="18:18" ht="15.75" customHeight="1">
      <c r="R821" s="122"/>
    </row>
    <row r="822" spans="18:18" ht="15.75" customHeight="1">
      <c r="R822" s="122"/>
    </row>
    <row r="823" spans="18:18" ht="15.75" customHeight="1">
      <c r="R823" s="122"/>
    </row>
    <row r="824" spans="18:18" ht="15.75" customHeight="1">
      <c r="R824" s="122"/>
    </row>
    <row r="825" spans="18:18" ht="15.75" customHeight="1">
      <c r="R825" s="122"/>
    </row>
    <row r="826" spans="18:18" ht="15.75" customHeight="1">
      <c r="R826" s="122"/>
    </row>
    <row r="827" spans="18:18" ht="15.75" customHeight="1">
      <c r="R827" s="122"/>
    </row>
    <row r="828" spans="18:18" ht="15.75" customHeight="1">
      <c r="R828" s="122"/>
    </row>
    <row r="829" spans="18:18" ht="15.75" customHeight="1">
      <c r="R829" s="122"/>
    </row>
    <row r="830" spans="18:18" ht="15.75" customHeight="1">
      <c r="R830" s="122"/>
    </row>
    <row r="831" spans="18:18" ht="15.75" customHeight="1">
      <c r="R831" s="122"/>
    </row>
    <row r="832" spans="18:18" ht="15.75" customHeight="1">
      <c r="R832" s="122"/>
    </row>
    <row r="833" spans="18:18" ht="15.75" customHeight="1">
      <c r="R833" s="122"/>
    </row>
    <row r="834" spans="18:18" ht="15.75" customHeight="1">
      <c r="R834" s="122"/>
    </row>
    <row r="835" spans="18:18" ht="15.75" customHeight="1">
      <c r="R835" s="122"/>
    </row>
    <row r="836" spans="18:18" ht="15.75" customHeight="1">
      <c r="R836" s="122"/>
    </row>
    <row r="837" spans="18:18" ht="15.75" customHeight="1">
      <c r="R837" s="122"/>
    </row>
    <row r="838" spans="18:18" ht="15.75" customHeight="1">
      <c r="R838" s="122"/>
    </row>
    <row r="839" spans="18:18" ht="15.75" customHeight="1">
      <c r="R839" s="122"/>
    </row>
    <row r="840" spans="18:18" ht="15.75" customHeight="1">
      <c r="R840" s="122"/>
    </row>
    <row r="841" spans="18:18" ht="15.75" customHeight="1">
      <c r="R841" s="122"/>
    </row>
    <row r="842" spans="18:18" ht="15.75" customHeight="1">
      <c r="R842" s="122"/>
    </row>
    <row r="843" spans="18:18" ht="15.75" customHeight="1">
      <c r="R843" s="122"/>
    </row>
    <row r="844" spans="18:18" ht="15.75" customHeight="1">
      <c r="R844" s="122"/>
    </row>
    <row r="845" spans="18:18" ht="15.75" customHeight="1">
      <c r="R845" s="122"/>
    </row>
    <row r="846" spans="18:18" ht="15.75" customHeight="1">
      <c r="R846" s="122"/>
    </row>
    <row r="847" spans="18:18" ht="15.75" customHeight="1"/>
    <row r="848" spans="18:1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">
    <mergeCell ref="A1:D1"/>
    <mergeCell ref="E1:L1"/>
    <mergeCell ref="M1:O1"/>
    <mergeCell ref="P1:U1"/>
    <mergeCell ref="W1:Z1"/>
  </mergeCells>
  <hyperlinks>
    <hyperlink ref="C13" r:id="rId1" xr:uid="{00000000-0004-0000-0000-000000000000}"/>
    <hyperlink ref="C14" r:id="rId2" xr:uid="{00000000-0004-0000-0000-000001000000}"/>
    <hyperlink ref="C15" r:id="rId3" xr:uid="{00000000-0004-0000-0000-000002000000}"/>
    <hyperlink ref="C19" r:id="rId4" xr:uid="{00000000-0004-0000-0000-000003000000}"/>
    <hyperlink ref="C20" r:id="rId5" xr:uid="{00000000-0004-0000-0000-000004000000}"/>
    <hyperlink ref="C21" r:id="rId6" xr:uid="{00000000-0004-0000-0000-000005000000}"/>
    <hyperlink ref="C22" r:id="rId7" xr:uid="{00000000-0004-0000-0000-000006000000}"/>
    <hyperlink ref="C23" r:id="rId8" xr:uid="{00000000-0004-0000-0000-000007000000}"/>
    <hyperlink ref="C24" r:id="rId9" xr:uid="{00000000-0004-0000-0000-000008000000}"/>
    <hyperlink ref="C25" r:id="rId10" xr:uid="{00000000-0004-0000-0000-000009000000}"/>
    <hyperlink ref="C26" r:id="rId11" xr:uid="{00000000-0004-0000-0000-00000A000000}"/>
    <hyperlink ref="C27" r:id="rId12" xr:uid="{00000000-0004-0000-0000-00000B000000}"/>
    <hyperlink ref="C28" r:id="rId13" xr:uid="{00000000-0004-0000-0000-00000C000000}"/>
    <hyperlink ref="C29" r:id="rId14" xr:uid="{00000000-0004-0000-0000-00000D000000}"/>
    <hyperlink ref="C30" r:id="rId15" xr:uid="{00000000-0004-0000-0000-00000E000000}"/>
    <hyperlink ref="C31" r:id="rId16" xr:uid="{00000000-0004-0000-0000-00000F000000}"/>
    <hyperlink ref="C32" r:id="rId17" xr:uid="{00000000-0004-0000-0000-000010000000}"/>
    <hyperlink ref="C33" r:id="rId18" xr:uid="{00000000-0004-0000-0000-000011000000}"/>
    <hyperlink ref="C34" r:id="rId19" xr:uid="{00000000-0004-0000-0000-000012000000}"/>
    <hyperlink ref="C35" r:id="rId20" xr:uid="{00000000-0004-0000-0000-000013000000}"/>
    <hyperlink ref="C36" r:id="rId21" xr:uid="{00000000-0004-0000-0000-000014000000}"/>
    <hyperlink ref="C37" r:id="rId22" xr:uid="{00000000-0004-0000-0000-000015000000}"/>
    <hyperlink ref="C38" r:id="rId23" xr:uid="{00000000-0004-0000-0000-000016000000}"/>
    <hyperlink ref="C39" r:id="rId24" xr:uid="{00000000-0004-0000-0000-000017000000}"/>
    <hyperlink ref="C40" r:id="rId25" xr:uid="{00000000-0004-0000-0000-000018000000}"/>
    <hyperlink ref="C41" r:id="rId26" xr:uid="{00000000-0004-0000-0000-000019000000}"/>
    <hyperlink ref="C42" r:id="rId27" xr:uid="{00000000-0004-0000-0000-00001A000000}"/>
    <hyperlink ref="C43" r:id="rId28" xr:uid="{00000000-0004-0000-0000-00001B000000}"/>
    <hyperlink ref="C44" r:id="rId29" xr:uid="{00000000-0004-0000-0000-00001C000000}"/>
    <hyperlink ref="C45" r:id="rId30" xr:uid="{00000000-0004-0000-0000-00001D000000}"/>
    <hyperlink ref="C46" r:id="rId31" xr:uid="{00000000-0004-0000-0000-00001E000000}"/>
    <hyperlink ref="C47" r:id="rId32" xr:uid="{00000000-0004-0000-0000-00001F000000}"/>
    <hyperlink ref="C49" r:id="rId33" xr:uid="{00000000-0004-0000-0000-000020000000}"/>
    <hyperlink ref="C50" r:id="rId34" xr:uid="{00000000-0004-0000-0000-000021000000}"/>
    <hyperlink ref="C51" r:id="rId35" xr:uid="{00000000-0004-0000-0000-000022000000}"/>
    <hyperlink ref="C52" r:id="rId36" xr:uid="{00000000-0004-0000-0000-000023000000}"/>
    <hyperlink ref="C53" r:id="rId37" xr:uid="{00000000-0004-0000-0000-000024000000}"/>
    <hyperlink ref="C54" r:id="rId38" xr:uid="{00000000-0004-0000-0000-000025000000}"/>
    <hyperlink ref="C55" r:id="rId39" xr:uid="{00000000-0004-0000-0000-000026000000}"/>
    <hyperlink ref="C56" r:id="rId40" xr:uid="{00000000-0004-0000-0000-000027000000}"/>
    <hyperlink ref="C57" r:id="rId41" xr:uid="{00000000-0004-0000-0000-000028000000}"/>
    <hyperlink ref="C58" r:id="rId42" xr:uid="{00000000-0004-0000-0000-000029000000}"/>
    <hyperlink ref="C59" r:id="rId43" xr:uid="{00000000-0004-0000-0000-00002A000000}"/>
    <hyperlink ref="C60" r:id="rId44" xr:uid="{00000000-0004-0000-0000-00002B000000}"/>
    <hyperlink ref="C61" r:id="rId45" xr:uid="{00000000-0004-0000-0000-00002C000000}"/>
    <hyperlink ref="C62" r:id="rId46" xr:uid="{00000000-0004-0000-0000-00002D000000}"/>
    <hyperlink ref="C63" r:id="rId47" xr:uid="{00000000-0004-0000-0000-00002E000000}"/>
    <hyperlink ref="C64" r:id="rId48" xr:uid="{00000000-0004-0000-0000-00002F000000}"/>
    <hyperlink ref="C65" r:id="rId49" xr:uid="{00000000-0004-0000-0000-000030000000}"/>
    <hyperlink ref="C66" r:id="rId50" xr:uid="{00000000-0004-0000-0000-000031000000}"/>
    <hyperlink ref="C67" r:id="rId51" xr:uid="{00000000-0004-0000-0000-000032000000}"/>
    <hyperlink ref="C68" r:id="rId52" xr:uid="{00000000-0004-0000-0000-000033000000}"/>
    <hyperlink ref="C78" r:id="rId53" xr:uid="{00000000-0004-0000-0000-000034000000}"/>
    <hyperlink ref="C79" r:id="rId54" xr:uid="{00000000-0004-0000-0000-000035000000}"/>
    <hyperlink ref="C80" r:id="rId55" xr:uid="{00000000-0004-0000-0000-000036000000}"/>
    <hyperlink ref="C81" r:id="rId56" xr:uid="{00000000-0004-0000-0000-000037000000}"/>
    <hyperlink ref="C117" r:id="rId57" xr:uid="{00000000-0004-0000-0000-000038000000}"/>
    <hyperlink ref="C118" r:id="rId58" xr:uid="{00000000-0004-0000-0000-000039000000}"/>
    <hyperlink ref="C119" r:id="rId59" xr:uid="{00000000-0004-0000-0000-00003A000000}"/>
    <hyperlink ref="C120" r:id="rId60" xr:uid="{00000000-0004-0000-0000-00003B000000}"/>
    <hyperlink ref="C121" r:id="rId61" xr:uid="{00000000-0004-0000-0000-00003C000000}"/>
    <hyperlink ref="C122" r:id="rId62" xr:uid="{00000000-0004-0000-0000-00003D000000}"/>
    <hyperlink ref="C123" r:id="rId63" xr:uid="{00000000-0004-0000-0000-00003E000000}"/>
    <hyperlink ref="C124" r:id="rId64" xr:uid="{00000000-0004-0000-0000-00003F000000}"/>
    <hyperlink ref="C125" r:id="rId65" xr:uid="{00000000-0004-0000-0000-000040000000}"/>
    <hyperlink ref="C126" r:id="rId66" xr:uid="{00000000-0004-0000-0000-000041000000}"/>
    <hyperlink ref="C127" r:id="rId67" xr:uid="{00000000-0004-0000-0000-000042000000}"/>
    <hyperlink ref="C128" r:id="rId68" xr:uid="{00000000-0004-0000-0000-000043000000}"/>
    <hyperlink ref="C129" r:id="rId69" xr:uid="{00000000-0004-0000-0000-000044000000}"/>
  </hyperlinks>
  <pageMargins left="0.75" right="0.75" top="1" bottom="1" header="0" footer="0"/>
  <pageSetup orientation="portrait"/>
  <legacy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4140625" defaultRowHeight="15" customHeight="1"/>
  <cols>
    <col min="1" max="1" width="22" customWidth="1"/>
    <col min="2" max="2" width="70" customWidth="1"/>
    <col min="3" max="26" width="9.109375" customWidth="1"/>
  </cols>
  <sheetData>
    <row r="1" spans="1:2" ht="24" customHeight="1">
      <c r="A1" s="135" t="s">
        <v>818</v>
      </c>
      <c r="B1" s="131"/>
    </row>
    <row r="2" spans="1:2" ht="21.75" customHeight="1">
      <c r="A2" s="123" t="s">
        <v>819</v>
      </c>
      <c r="B2" s="124" t="s">
        <v>820</v>
      </c>
    </row>
    <row r="3" spans="1:2" ht="30" customHeight="1">
      <c r="A3" s="125" t="s">
        <v>821</v>
      </c>
      <c r="B3" s="126" t="s">
        <v>822</v>
      </c>
    </row>
    <row r="4" spans="1:2" ht="21.75" customHeight="1">
      <c r="A4" s="123" t="s">
        <v>13</v>
      </c>
      <c r="B4" s="124" t="s">
        <v>823</v>
      </c>
    </row>
    <row r="5" spans="1:2" ht="21.75" customHeight="1">
      <c r="A5" s="125" t="s">
        <v>14</v>
      </c>
      <c r="B5" s="126" t="s">
        <v>824</v>
      </c>
    </row>
    <row r="6" spans="1:2" ht="21.75" customHeight="1">
      <c r="A6" s="123" t="s">
        <v>15</v>
      </c>
      <c r="B6" s="124" t="s">
        <v>825</v>
      </c>
    </row>
    <row r="7" spans="1:2" ht="21.75" customHeight="1">
      <c r="A7" s="125" t="s">
        <v>16</v>
      </c>
      <c r="B7" s="126" t="s">
        <v>826</v>
      </c>
    </row>
    <row r="8" spans="1:2" ht="21.75" customHeight="1">
      <c r="A8" s="123" t="s">
        <v>17</v>
      </c>
      <c r="B8" s="124" t="s">
        <v>827</v>
      </c>
    </row>
    <row r="9" spans="1:2" ht="21.75" customHeight="1">
      <c r="A9" s="125" t="s">
        <v>18</v>
      </c>
      <c r="B9" s="126" t="s">
        <v>828</v>
      </c>
    </row>
    <row r="10" spans="1:2" ht="30" customHeight="1">
      <c r="A10" s="123" t="s">
        <v>19</v>
      </c>
      <c r="B10" s="124" t="s">
        <v>829</v>
      </c>
    </row>
    <row r="11" spans="1:2" ht="21.75" customHeight="1">
      <c r="A11" s="125" t="s">
        <v>20</v>
      </c>
      <c r="B11" s="126" t="s">
        <v>830</v>
      </c>
    </row>
    <row r="12" spans="1:2" ht="21.75" customHeight="1">
      <c r="A12" s="123" t="s">
        <v>21</v>
      </c>
      <c r="B12" s="124" t="s">
        <v>831</v>
      </c>
    </row>
    <row r="13" spans="1:2" ht="30" customHeight="1">
      <c r="A13" s="125" t="s">
        <v>22</v>
      </c>
      <c r="B13" s="126" t="s">
        <v>832</v>
      </c>
    </row>
    <row r="14" spans="1:2" ht="21.75" customHeight="1">
      <c r="A14" s="123" t="s">
        <v>23</v>
      </c>
      <c r="B14" s="124" t="s">
        <v>833</v>
      </c>
    </row>
    <row r="15" spans="1:2" ht="21.75" customHeight="1">
      <c r="A15" s="125" t="s">
        <v>27</v>
      </c>
      <c r="B15" s="126" t="s">
        <v>834</v>
      </c>
    </row>
    <row r="16" spans="1:2" ht="21.75" customHeight="1">
      <c r="A16" s="123" t="s">
        <v>28</v>
      </c>
      <c r="B16" s="124" t="s">
        <v>835</v>
      </c>
    </row>
    <row r="17" spans="1:2" ht="21.75" customHeight="1">
      <c r="A17" s="127" t="s">
        <v>836</v>
      </c>
      <c r="B17" s="127"/>
    </row>
    <row r="18" spans="1:2" ht="30" customHeight="1">
      <c r="A18" s="123" t="s">
        <v>30</v>
      </c>
      <c r="B18" s="124" t="s">
        <v>837</v>
      </c>
    </row>
    <row r="19" spans="1:2" ht="21.75" customHeight="1">
      <c r="A19" s="125" t="s">
        <v>31</v>
      </c>
      <c r="B19" s="126" t="s">
        <v>838</v>
      </c>
    </row>
    <row r="20" spans="1:2" ht="21.75" customHeight="1">
      <c r="A20" s="123" t="s">
        <v>32</v>
      </c>
      <c r="B20" s="124" t="s">
        <v>839</v>
      </c>
    </row>
    <row r="21" spans="1:2" ht="21.75" customHeight="1">
      <c r="A21" s="125" t="s">
        <v>33</v>
      </c>
      <c r="B21" s="126" t="s">
        <v>840</v>
      </c>
    </row>
    <row r="22" spans="1:2" ht="21.75" customHeight="1">
      <c r="A22" s="123" t="s">
        <v>34</v>
      </c>
      <c r="B22" s="124" t="s">
        <v>841</v>
      </c>
    </row>
    <row r="23" spans="1:2" ht="21.75" customHeight="1">
      <c r="A23" s="128" t="s">
        <v>842</v>
      </c>
      <c r="B23" s="128"/>
    </row>
    <row r="24" spans="1:2" ht="21.75" customHeight="1">
      <c r="A24" s="123" t="s">
        <v>843</v>
      </c>
      <c r="B24" s="124" t="s">
        <v>844</v>
      </c>
    </row>
    <row r="25" spans="1:2" ht="21.75" customHeight="1">
      <c r="A25" s="125" t="s">
        <v>845</v>
      </c>
      <c r="B25" s="126" t="s">
        <v>846</v>
      </c>
    </row>
    <row r="26" spans="1:2" ht="30" customHeight="1">
      <c r="A26" s="123" t="s">
        <v>847</v>
      </c>
      <c r="B26" s="124" t="s">
        <v>848</v>
      </c>
    </row>
    <row r="27" spans="1:2" ht="21.75" customHeight="1">
      <c r="A27" s="125" t="s">
        <v>849</v>
      </c>
      <c r="B27" s="126" t="s">
        <v>850</v>
      </c>
    </row>
    <row r="28" spans="1:2" ht="21.75" customHeight="1">
      <c r="A28" s="123" t="s">
        <v>851</v>
      </c>
      <c r="B28" s="124" t="s">
        <v>852</v>
      </c>
    </row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Tardien</cp:lastModifiedBy>
  <dcterms:created xsi:type="dcterms:W3CDTF">2026-05-06T11:38:34Z</dcterms:created>
  <dcterms:modified xsi:type="dcterms:W3CDTF">2026-06-06T16:46:29Z</dcterms:modified>
</cp:coreProperties>
</file>