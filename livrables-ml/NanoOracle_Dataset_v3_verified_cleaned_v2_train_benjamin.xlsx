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hackathon\"/>
    </mc:Choice>
  </mc:AlternateContent>
  <xr:revisionPtr revIDLastSave="0" documentId="8_{6BF3E7A0-A959-4175-B163-C226F7DAA101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TASET" sheetId="1" r:id="rId1"/>
    <sheet name="LÉGEN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</calcChain>
</file>

<file path=xl/sharedStrings.xml><?xml version="1.0" encoding="utf-8"?>
<sst xmlns="http://schemas.openxmlformats.org/spreadsheetml/2006/main" count="1010" uniqueCount="256">
  <si>
    <t>METADATA</t>
  </si>
  <si>
    <t>INPUTS — Composition</t>
  </si>
  <si>
    <t>INPUTS — Cargo</t>
  </si>
  <si>
    <t>INPUTS — Microfluidics</t>
  </si>
  <si>
    <t>Technic</t>
  </si>
  <si>
    <t>OUTPUTS</t>
  </si>
  <si>
    <t>OPT.</t>
  </si>
  <si>
    <t>FLAGS</t>
  </si>
  <si>
    <t>ID</t>
  </si>
  <si>
    <t>Source</t>
  </si>
  <si>
    <t>DOI</t>
  </si>
  <si>
    <t>Year</t>
  </si>
  <si>
    <r>
      <rPr>
        <b/>
        <sz val="9"/>
        <color rgb="FF000000"/>
        <rFont val="Arial"/>
        <family val="2"/>
      </rPr>
      <t>Lipid (</t>
    </r>
    <r>
      <rPr>
        <b/>
        <u/>
        <sz val="9"/>
        <color rgb="FF000000"/>
        <rFont val="Arial"/>
        <family val="2"/>
      </rPr>
      <t>ionizable</t>
    </r>
    <r>
      <rPr>
        <b/>
        <sz val="9"/>
        <color rgb="FF000000"/>
        <rFont val="Arial"/>
        <family val="2"/>
      </rPr>
      <t>/cationic)</t>
    </r>
  </si>
  <si>
    <t>Ionizable mol%</t>
  </si>
  <si>
    <t>Helper Lipid</t>
  </si>
  <si>
    <t>Helper mol%</t>
  </si>
  <si>
    <t>Cholesterol mol%</t>
  </si>
  <si>
    <t>PEG-Lipid</t>
  </si>
  <si>
    <t>PEG-Lipid mol%</t>
  </si>
  <si>
    <t>Total Lipid Conc.</t>
  </si>
  <si>
    <t>Cargo Type</t>
  </si>
  <si>
    <t>Cargo Conc.</t>
  </si>
  <si>
    <t>N/P Ratio</t>
  </si>
  <si>
    <t>Aqueous Buffer</t>
  </si>
  <si>
    <t>Aqueous Solution</t>
  </si>
  <si>
    <t>pH Buffer</t>
  </si>
  <si>
    <t>mM Buffer</t>
  </si>
  <si>
    <t>FRR (aq:org)</t>
  </si>
  <si>
    <t>Total Flow Rate</t>
  </si>
  <si>
    <t>Technique_Enc</t>
  </si>
  <si>
    <t>Size (Z-avg)</t>
  </si>
  <si>
    <t>PDI</t>
  </si>
  <si>
    <t>Zeta Potential</t>
  </si>
  <si>
    <t>EE%</t>
  </si>
  <si>
    <t>pKa (apparent)</t>
  </si>
  <si>
    <t>Notes / Flags</t>
  </si>
  <si>
    <t>—</t>
  </si>
  <si>
    <t>YYYY</t>
  </si>
  <si>
    <t>categorical</t>
  </si>
  <si>
    <t>mol%</t>
  </si>
  <si>
    <t>mM</t>
  </si>
  <si>
    <t>µg/mL</t>
  </si>
  <si>
    <t>mL/min</t>
  </si>
  <si>
    <t>nm</t>
  </si>
  <si>
    <t>mV</t>
  </si>
  <si>
    <t>%</t>
  </si>
  <si>
    <t>DMG-PEG</t>
  </si>
  <si>
    <t>siRNA</t>
  </si>
  <si>
    <t>microfluidic</t>
  </si>
  <si>
    <t>SM-102</t>
  </si>
  <si>
    <t>MC3</t>
  </si>
  <si>
    <t>DSPC</t>
  </si>
  <si>
    <t>38.5</t>
  </si>
  <si>
    <t>-0.98</t>
  </si>
  <si>
    <t>0.2</t>
  </si>
  <si>
    <t>0.7</t>
  </si>
  <si>
    <t>78.9</t>
  </si>
  <si>
    <t>0.12</t>
  </si>
  <si>
    <t>-0.01</t>
  </si>
  <si>
    <t>0.5</t>
  </si>
  <si>
    <t>70.5</t>
  </si>
  <si>
    <t>92.3</t>
  </si>
  <si>
    <t>0.02</t>
  </si>
  <si>
    <t>68.9</t>
  </si>
  <si>
    <t>0.192</t>
  </si>
  <si>
    <t>0.058</t>
  </si>
  <si>
    <t>80.2</t>
  </si>
  <si>
    <t>68.5</t>
  </si>
  <si>
    <t>63.4</t>
  </si>
  <si>
    <t>60.5</t>
  </si>
  <si>
    <t>69.8</t>
  </si>
  <si>
    <t>Citrate buffer 25 mM pH4</t>
  </si>
  <si>
    <t>68.92</t>
  </si>
  <si>
    <t>0.04802</t>
  </si>
  <si>
    <t>-2.3</t>
  </si>
  <si>
    <t>68.93</t>
  </si>
  <si>
    <t>0.07051</t>
  </si>
  <si>
    <t>-2.02</t>
  </si>
  <si>
    <t>71.86</t>
  </si>
  <si>
    <t>0.04672</t>
  </si>
  <si>
    <t>-1.3</t>
  </si>
  <si>
    <t>71.53</t>
  </si>
  <si>
    <t>0.05187</t>
  </si>
  <si>
    <t>0.8</t>
  </si>
  <si>
    <t>76.69</t>
  </si>
  <si>
    <t>0.01679</t>
  </si>
  <si>
    <t>70.74</t>
  </si>
  <si>
    <t>0.2223</t>
  </si>
  <si>
    <t>74.97</t>
  </si>
  <si>
    <t>0.2058</t>
  </si>
  <si>
    <t>87.88</t>
  </si>
  <si>
    <t>0.1394</t>
  </si>
  <si>
    <t>87.33</t>
  </si>
  <si>
    <t>0.05489</t>
  </si>
  <si>
    <t>-1.2</t>
  </si>
  <si>
    <t>88.54</t>
  </si>
  <si>
    <t>0.06298</t>
  </si>
  <si>
    <t>-0.5</t>
  </si>
  <si>
    <t>77.22</t>
  </si>
  <si>
    <t>0.0396</t>
  </si>
  <si>
    <t>87.7</t>
  </si>
  <si>
    <t>0.05497</t>
  </si>
  <si>
    <t>-2.8</t>
  </si>
  <si>
    <t>0.06029</t>
  </si>
  <si>
    <t>95.6</t>
  </si>
  <si>
    <t>0.04124</t>
  </si>
  <si>
    <t>0.02569</t>
  </si>
  <si>
    <t>91.05</t>
  </si>
  <si>
    <t>0.05323</t>
  </si>
  <si>
    <t>-4.2</t>
  </si>
  <si>
    <t>78.98</t>
  </si>
  <si>
    <t>0.1146</t>
  </si>
  <si>
    <t>-0.08</t>
  </si>
  <si>
    <t>89.89</t>
  </si>
  <si>
    <t>0.09203</t>
  </si>
  <si>
    <t>96.5</t>
  </si>
  <si>
    <t>0.1364</t>
  </si>
  <si>
    <t>-3.5</t>
  </si>
  <si>
    <t>87.93</t>
  </si>
  <si>
    <t>0.1739</t>
  </si>
  <si>
    <t>-0.4</t>
  </si>
  <si>
    <t>89.65</t>
  </si>
  <si>
    <t>0.2381</t>
  </si>
  <si>
    <t>-0.9</t>
  </si>
  <si>
    <t>92.56</t>
  </si>
  <si>
    <t>0.2201</t>
  </si>
  <si>
    <t>0.6</t>
  </si>
  <si>
    <t>78.5</t>
  </si>
  <si>
    <t>0.09008</t>
  </si>
  <si>
    <t>0.08605</t>
  </si>
  <si>
    <t>77.89</t>
  </si>
  <si>
    <t>0.1219</t>
  </si>
  <si>
    <t>-0.7</t>
  </si>
  <si>
    <t>0.1022</t>
  </si>
  <si>
    <t>77.8</t>
  </si>
  <si>
    <t>0.1172</t>
  </si>
  <si>
    <t>-1.6</t>
  </si>
  <si>
    <t>0.1059</t>
  </si>
  <si>
    <t>-1.8</t>
  </si>
  <si>
    <t>82.3</t>
  </si>
  <si>
    <t>0.1055</t>
  </si>
  <si>
    <t>81.8</t>
  </si>
  <si>
    <t>0.1117</t>
  </si>
  <si>
    <t>77.6</t>
  </si>
  <si>
    <t>0.1467</t>
  </si>
  <si>
    <t>-0.8</t>
  </si>
  <si>
    <t>0.1557</t>
  </si>
  <si>
    <t>0.1606</t>
  </si>
  <si>
    <t>-1.4</t>
  </si>
  <si>
    <t>67.42</t>
  </si>
  <si>
    <t>0.1692</t>
  </si>
  <si>
    <t>78.8</t>
  </si>
  <si>
    <t>0.1903</t>
  </si>
  <si>
    <t>72.1</t>
  </si>
  <si>
    <t>0.2092</t>
  </si>
  <si>
    <t>0.1653</t>
  </si>
  <si>
    <t>62.8</t>
  </si>
  <si>
    <t>0.1421</t>
  </si>
  <si>
    <t>0.1543</t>
  </si>
  <si>
    <t>70.2</t>
  </si>
  <si>
    <t>0.1892</t>
  </si>
  <si>
    <t>0.06663</t>
  </si>
  <si>
    <t>64.9</t>
  </si>
  <si>
    <t>0.05883</t>
  </si>
  <si>
    <t>0.06058</t>
  </si>
  <si>
    <t>70.4</t>
  </si>
  <si>
    <t>0.1481</t>
  </si>
  <si>
    <t>68.63</t>
  </si>
  <si>
    <t>0.1621</t>
  </si>
  <si>
    <t>LÉGENDE — NanoOracle Dataset v3 (microfluidique uniquement, valeurs vérifiées)</t>
  </si>
  <si>
    <t>Colonne</t>
  </si>
  <si>
    <t>Description</t>
  </si>
  <si>
    <t>Ionizable Lipid</t>
  </si>
  <si>
    <t>Lipide ionisable. MC3 (pKa≈6.44), SM-102 (pKa≈6.68), ALC-0315 (pKa≈6.09), DODAP, DOTAP.</t>
  </si>
  <si>
    <t>Fraction molaire du lipide ionisable. Typiquement 35–50 mol%.</t>
  </si>
  <si>
    <t>DSPC (saturé, rigide) vs DOPE (insaturé, fusogène endosomal).</t>
  </si>
  <si>
    <t>Typiquement 10–20 mol%.</t>
  </si>
  <si>
    <t>Calculé par soustraction si non rapporté directement (=100-Ioniz-Helper-PEG).</t>
  </si>
  <si>
    <t>Lipide PEGylé. DMG-PEG2000 le plus courant dans les formulations approuvées.</t>
  </si>
  <si>
    <t>1.25–2.5 mol%. Variable la plus prédictive de la taille selon SHAP.</t>
  </si>
  <si>
    <t>Concentration totale en lipides dans la phase organique (mM). NR si non rapporté.</t>
  </si>
  <si>
    <t>siRNA, mRNA, saRNA, pDNA.</t>
  </si>
  <si>
    <t>Concentration du cargo en µg/mL. NR si non rapporté explicitement.</t>
  </si>
  <si>
    <t>Rapport molaire N (lipide ionisable) / P (phosphate cargo). Ou masse/masse si wt/wt.</t>
  </si>
  <si>
    <t>Buffer de la phase aqueuse. Souvent Na-acétate ou citrate à pH acide (3.0–5.0).</t>
  </si>
  <si>
    <t>Flow Rate Ratio = débit aqueux / débit organique. Typiquement 3:1.</t>
  </si>
  <si>
    <t>Débit total en mL/min. Impacte la taille.</t>
  </si>
  <si>
    <t>--- OUTPUTS ---</t>
  </si>
  <si>
    <t>Diamètre hydrodynamique moyen par DLS (Z-average) en nm. Valeur approximative si '~'.</t>
  </si>
  <si>
    <t>Polydispersity Index. &lt;0.2 = acceptable. NR si non rapporté.</t>
  </si>
  <si>
    <t>mV. NR si non rapporté.</t>
  </si>
  <si>
    <t>Encapsulation Efficiency. % de cargo encapsulé (RiboGreen ou Quant-iT).</t>
  </si>
  <si>
    <t>pKa du lipide ionisable. Valeur littérature pour les lipides commerciaux.</t>
  </si>
  <si>
    <t>--- FLAGS ---</t>
  </si>
  <si>
    <t>NR</t>
  </si>
  <si>
    <t>Not Reported : valeur non mentionnée explicitement dans le texte du papier.</t>
  </si>
  <si>
    <t>~</t>
  </si>
  <si>
    <t>Valeur approximative extraite du texte ('around 100nm', '&gt;85%').</t>
  </si>
  <si>
    <t>⚠ Non-standard lipidoid</t>
  </si>
  <si>
    <t>Lipidoïde synthétisé en laboratoire. Pas de pKa/descripteur standard disponible.</t>
  </si>
  <si>
    <t>❌ EXCLU</t>
  </si>
  <si>
    <t>Papier exclu du dataset car méthode de production non-microfluidique.</t>
  </si>
  <si>
    <t>🔒 VALIDATION</t>
  </si>
  <si>
    <t>Données de validation indépendantes — ne jamais inclure dans l'entraînement.</t>
  </si>
  <si>
    <t>Citrate</t>
  </si>
  <si>
    <t>0.183</t>
  </si>
  <si>
    <t>-3.84</t>
  </si>
  <si>
    <t>72.4</t>
  </si>
  <si>
    <t>0.071</t>
  </si>
  <si>
    <t>2.17</t>
  </si>
  <si>
    <t>85.7</t>
  </si>
  <si>
    <t>0.156</t>
  </si>
  <si>
    <t>4.63</t>
  </si>
  <si>
    <t>0.098</t>
  </si>
  <si>
    <t>-1.29</t>
  </si>
  <si>
    <t>81.3</t>
  </si>
  <si>
    <t>0.124</t>
  </si>
  <si>
    <t>0.58</t>
  </si>
  <si>
    <t>76.5</t>
  </si>
  <si>
    <t>-4.71</t>
  </si>
  <si>
    <t>87.1</t>
  </si>
  <si>
    <t>0.067</t>
  </si>
  <si>
    <t>70.6</t>
  </si>
  <si>
    <t>0.145</t>
  </si>
  <si>
    <t>1.46</t>
  </si>
  <si>
    <t>0.111</t>
  </si>
  <si>
    <t>-2.95</t>
  </si>
  <si>
    <t>83.2</t>
  </si>
  <si>
    <t>0.084</t>
  </si>
  <si>
    <t>4.18</t>
  </si>
  <si>
    <t>74.1</t>
  </si>
  <si>
    <t>0.174</t>
  </si>
  <si>
    <t>-0.37</t>
  </si>
  <si>
    <t>68.7</t>
  </si>
  <si>
    <t>0.132</t>
  </si>
  <si>
    <t>2.89</t>
  </si>
  <si>
    <t>86.4</t>
  </si>
  <si>
    <t>-4.12</t>
  </si>
  <si>
    <t>79.5</t>
  </si>
  <si>
    <t>0.163</t>
  </si>
  <si>
    <t>0.91</t>
  </si>
  <si>
    <t>71.2</t>
  </si>
  <si>
    <t>0.107</t>
  </si>
  <si>
    <t>3.54</t>
  </si>
  <si>
    <t>84.8</t>
  </si>
  <si>
    <t>0.189</t>
  </si>
  <si>
    <t>-1.76</t>
  </si>
  <si>
    <t>0.076</t>
  </si>
  <si>
    <t>4.87</t>
  </si>
  <si>
    <t>73.3</t>
  </si>
  <si>
    <t>0.138</t>
  </si>
  <si>
    <t>-3.21</t>
  </si>
  <si>
    <t>88.0</t>
  </si>
  <si>
    <t>0.095</t>
  </si>
  <si>
    <t>1.13</t>
  </si>
  <si>
    <t>80.7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</si>
</sst>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color rgb="FFFFFFFF"/>
      <name val="Arial"/>
      <family val="2"/>
    </font>
    <font>
      <i/>
      <sz val="8"/>
      <color rgb="FF000000"/>
      <name val="Arial"/>
      <family val="2"/>
    </font>
    <font>
      <i/>
      <sz val="8"/>
      <color rgb="FFEEEEEE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rgb="FF0000FF"/>
      <name val="Calibri"/>
      <family val="2"/>
      <scheme val="minor"/>
    </font>
    <font>
      <b/>
      <sz val="11"/>
      <color rgb="FF0000FF"/>
      <name val="&quot;Aptos Narrow&quot;"/>
    </font>
    <font>
      <b/>
      <sz val="11"/>
      <color rgb="FF000000"/>
      <name val="&quot;Aptos Narrow&quot;"/>
    </font>
    <font>
      <sz val="11"/>
      <color rgb="FF0000FF"/>
      <name val="&quot;Aptos Narrow&quot;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b/>
      <u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A3B6B"/>
        <bgColor rgb="FF4A3B6B"/>
      </patternFill>
    </fill>
    <fill>
      <patternFill patternType="solid">
        <fgColor rgb="FF1A3A5C"/>
        <bgColor rgb="FF1A3A5C"/>
      </patternFill>
    </fill>
    <fill>
      <patternFill patternType="solid">
        <fgColor rgb="FF0F6E56"/>
        <bgColor rgb="FF0F6E56"/>
      </patternFill>
    </fill>
    <fill>
      <patternFill patternType="solid">
        <fgColor rgb="FFF4F8FC"/>
        <bgColor rgb="FFF4F8FC"/>
      </patternFill>
    </fill>
    <fill>
      <patternFill patternType="solid">
        <fgColor rgb="FFD6F0E8"/>
        <bgColor rgb="FFD6F0E8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FF3CD"/>
        <bgColor rgb="FFFFF3CD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4"/>
  </cellStyleXfs>
  <cellXfs count="62">
    <xf numFmtId="0" fontId="0" fillId="0" borderId="0" xfId="0"/>
    <xf numFmtId="0" fontId="4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4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64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64" fontId="11" fillId="0" borderId="0" xfId="0" applyNumberFormat="1" applyFont="1" applyAlignment="1">
      <alignment horizontal="right"/>
    </xf>
    <xf numFmtId="0" fontId="11" fillId="7" borderId="0" xfId="0" applyFont="1" applyFill="1" applyAlignment="1">
      <alignment horizontal="right"/>
    </xf>
    <xf numFmtId="0" fontId="11" fillId="0" borderId="6" xfId="0" applyFont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0" borderId="6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8" fillId="8" borderId="5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18" fillId="7" borderId="5" xfId="0" applyFont="1" applyFill="1" applyBorder="1" applyAlignment="1">
      <alignment horizontal="left" vertical="center" wrapText="1"/>
    </xf>
    <xf numFmtId="0" fontId="10" fillId="7" borderId="5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 wrapText="1"/>
    </xf>
    <xf numFmtId="0" fontId="18" fillId="9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" fillId="0" borderId="4" xfId="1"/>
    <xf numFmtId="0" fontId="7" fillId="5" borderId="5" xfId="1" applyFont="1" applyFill="1" applyBorder="1" applyAlignment="1">
      <alignment horizontal="center" vertical="center"/>
    </xf>
    <xf numFmtId="0" fontId="8" fillId="0" borderId="4" xfId="1" applyFont="1" applyAlignment="1">
      <alignment horizontal="right"/>
    </xf>
    <xf numFmtId="0" fontId="11" fillId="0" borderId="4" xfId="1" applyFont="1"/>
    <xf numFmtId="0" fontId="11" fillId="0" borderId="4" xfId="1" applyFont="1" applyAlignment="1">
      <alignment horizontal="center"/>
    </xf>
    <xf numFmtId="0" fontId="11" fillId="0" borderId="4" xfId="1" applyFont="1" applyAlignment="1">
      <alignment horizontal="right"/>
    </xf>
    <xf numFmtId="0" fontId="12" fillId="0" borderId="4" xfId="1" applyFont="1" applyAlignment="1">
      <alignment horizontal="right"/>
    </xf>
    <xf numFmtId="0" fontId="15" fillId="0" borderId="4" xfId="1" applyFont="1" applyAlignment="1">
      <alignment horizontal="right"/>
    </xf>
    <xf numFmtId="0" fontId="15" fillId="0" borderId="4" xfId="1" applyFont="1" applyAlignment="1">
      <alignment horizontal="center"/>
    </xf>
    <xf numFmtId="0" fontId="12" fillId="0" borderId="4" xfId="1" applyFont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5" fillId="0" borderId="4" xfId="1" applyFont="1"/>
    <xf numFmtId="0" fontId="11" fillId="7" borderId="4" xfId="1" applyFont="1" applyFill="1" applyAlignment="1">
      <alignment horizontal="center"/>
    </xf>
    <xf numFmtId="165" fontId="11" fillId="0" borderId="4" xfId="1" applyNumberFormat="1" applyFont="1" applyAlignment="1">
      <alignment horizontal="center"/>
    </xf>
  </cellXfs>
  <cellStyles count="2">
    <cellStyle name="Normal" xfId="0" builtinId="0"/>
    <cellStyle name="Normal 2" xfId="1" xr:uid="{E11D5B0C-10BD-4984-9645-56944DB69F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4"/>
  <sheetViews>
    <sheetView tabSelected="1" zoomScale="55" zoomScaleNormal="5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6" sqref="B56"/>
    </sheetView>
  </sheetViews>
  <sheetFormatPr baseColWidth="10" defaultColWidth="14.46484375" defaultRowHeight="15" customHeight="1"/>
  <cols>
    <col min="1" max="1" width="6" customWidth="1"/>
    <col min="2" max="2" width="28" customWidth="1"/>
    <col min="3" max="3" width="32" customWidth="1"/>
    <col min="4" max="4" width="7" customWidth="1"/>
    <col min="5" max="5" width="18" customWidth="1"/>
    <col min="6" max="6" width="14" customWidth="1"/>
    <col min="7" max="7" width="18" customWidth="1"/>
    <col min="8" max="8" width="14" customWidth="1"/>
    <col min="9" max="9" width="13" customWidth="1"/>
    <col min="10" max="10" width="18" customWidth="1"/>
    <col min="11" max="11" width="13" customWidth="1"/>
    <col min="12" max="14" width="14" customWidth="1"/>
    <col min="15" max="15" width="10" customWidth="1"/>
    <col min="16" max="19" width="39.46484375" customWidth="1"/>
    <col min="20" max="20" width="13" customWidth="1"/>
    <col min="21" max="22" width="14" customWidth="1"/>
    <col min="23" max="23" width="12" customWidth="1"/>
    <col min="24" max="24" width="10" customWidth="1"/>
    <col min="25" max="25" width="13" customWidth="1"/>
    <col min="26" max="26" width="14" customWidth="1"/>
    <col min="27" max="27" width="12" customWidth="1"/>
    <col min="28" max="28" width="35" customWidth="1"/>
    <col min="29" max="32" width="9.1328125" customWidth="1"/>
  </cols>
  <sheetData>
    <row r="1" spans="1:28" ht="15.75" customHeight="1">
      <c r="A1" s="40" t="s">
        <v>0</v>
      </c>
      <c r="B1" s="41"/>
      <c r="C1" s="41"/>
      <c r="D1" s="42"/>
      <c r="E1" s="43" t="s">
        <v>1</v>
      </c>
      <c r="F1" s="41"/>
      <c r="G1" s="41"/>
      <c r="H1" s="41"/>
      <c r="I1" s="41"/>
      <c r="J1" s="41"/>
      <c r="K1" s="41"/>
      <c r="L1" s="42"/>
      <c r="M1" s="44" t="s">
        <v>2</v>
      </c>
      <c r="N1" s="41"/>
      <c r="O1" s="42"/>
      <c r="P1" s="44" t="s">
        <v>3</v>
      </c>
      <c r="Q1" s="41"/>
      <c r="R1" s="41"/>
      <c r="S1" s="41"/>
      <c r="T1" s="41"/>
      <c r="U1" s="42"/>
      <c r="V1" s="1" t="s">
        <v>4</v>
      </c>
      <c r="W1" s="45" t="s">
        <v>5</v>
      </c>
      <c r="X1" s="41"/>
      <c r="Y1" s="41"/>
      <c r="Z1" s="42"/>
      <c r="AA1" s="1" t="s">
        <v>6</v>
      </c>
      <c r="AB1" s="2" t="s">
        <v>7</v>
      </c>
    </row>
    <row r="2" spans="1:28" ht="43.5" customHeight="1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6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5" t="s">
        <v>34</v>
      </c>
      <c r="AB2" s="8" t="s">
        <v>35</v>
      </c>
    </row>
    <row r="3" spans="1:28" ht="15" customHeight="1">
      <c r="A3" s="9" t="s">
        <v>36</v>
      </c>
      <c r="B3" s="9" t="s">
        <v>36</v>
      </c>
      <c r="C3" s="9" t="s">
        <v>36</v>
      </c>
      <c r="D3" s="9" t="s">
        <v>37</v>
      </c>
      <c r="E3" s="10" t="s">
        <v>38</v>
      </c>
      <c r="F3" s="10" t="s">
        <v>39</v>
      </c>
      <c r="G3" s="10" t="s">
        <v>38</v>
      </c>
      <c r="H3" s="10" t="s">
        <v>39</v>
      </c>
      <c r="I3" s="10" t="s">
        <v>39</v>
      </c>
      <c r="J3" s="10" t="s">
        <v>38</v>
      </c>
      <c r="K3" s="10" t="s">
        <v>39</v>
      </c>
      <c r="L3" s="10" t="s">
        <v>40</v>
      </c>
      <c r="M3" s="11" t="s">
        <v>38</v>
      </c>
      <c r="N3" s="11" t="s">
        <v>41</v>
      </c>
      <c r="O3" s="11" t="s">
        <v>36</v>
      </c>
      <c r="P3" s="11" t="s">
        <v>38</v>
      </c>
      <c r="Q3" s="11"/>
      <c r="R3" s="12"/>
      <c r="S3" s="11"/>
      <c r="T3" s="11" t="s">
        <v>36</v>
      </c>
      <c r="U3" s="11" t="s">
        <v>42</v>
      </c>
      <c r="V3" s="11" t="s">
        <v>38</v>
      </c>
      <c r="W3" s="13" t="s">
        <v>43</v>
      </c>
      <c r="X3" s="13" t="s">
        <v>36</v>
      </c>
      <c r="Y3" s="13" t="s">
        <v>44</v>
      </c>
      <c r="Z3" s="13" t="s">
        <v>45</v>
      </c>
      <c r="AA3" s="11" t="s">
        <v>36</v>
      </c>
      <c r="AB3" s="14" t="s">
        <v>36</v>
      </c>
    </row>
    <row r="4" spans="1:28" ht="18" customHeight="1">
      <c r="A4">
        <v>1</v>
      </c>
      <c r="E4" s="17" t="s">
        <v>49</v>
      </c>
      <c r="F4" s="18">
        <v>50</v>
      </c>
      <c r="G4" s="17" t="s">
        <v>51</v>
      </c>
      <c r="H4" s="18">
        <v>10</v>
      </c>
      <c r="I4" s="19" t="s">
        <v>52</v>
      </c>
      <c r="J4" s="17" t="s">
        <v>46</v>
      </c>
      <c r="K4" s="20">
        <v>46143</v>
      </c>
      <c r="L4" s="18">
        <v>10</v>
      </c>
      <c r="M4" s="18" t="s">
        <v>47</v>
      </c>
      <c r="N4" s="17"/>
      <c r="O4" s="18">
        <v>6</v>
      </c>
      <c r="P4" s="17" t="s">
        <v>71</v>
      </c>
      <c r="Q4" s="15" t="str">
        <f ca="1">IFERROR(__xludf.DUMMYFUNCTION("IF(P230="""","""",IF(REGEXMATCH(UPPER(P230),""CITRATE""),""Citrate"",IF(REGEXMATCH(UPPER(P230),""ACETATE""),""Sodium Acetate"",IF(REGEXMATCH(UPPER(P230),""PBS""),""PBS"",IF(REGEXMATCH(UPPER(P230),""TRIS""),""Tris"",IF(REGEXMATCH(UPPER(P230),""HEPES""),""H"&amp;"EPES"",IF(REGEXMATCH(UPPER(P230),""HISTIDINE""),""Histidine"",IF(REGEXMATCH(UPPER(P230),""SUCCINATE""),""Succinate"",IF(REGEXMATCH(UPPER(P230),""GLYCINE""),""Glycine"",P230)))))))))"),"Citrate")</f>
        <v>Citrate</v>
      </c>
      <c r="R4" s="16">
        <v>4</v>
      </c>
      <c r="S4" s="16">
        <v>25</v>
      </c>
      <c r="T4" s="19">
        <v>5</v>
      </c>
      <c r="U4" s="19">
        <v>10</v>
      </c>
      <c r="V4" s="21" t="s">
        <v>48</v>
      </c>
      <c r="W4" s="22" t="s">
        <v>72</v>
      </c>
      <c r="X4" s="22" t="s">
        <v>73</v>
      </c>
      <c r="Y4" s="19" t="s">
        <v>74</v>
      </c>
      <c r="Z4" s="19">
        <v>95</v>
      </c>
    </row>
    <row r="5" spans="1:28" ht="18" customHeight="1">
      <c r="A5">
        <f>A4+1</f>
        <v>2</v>
      </c>
      <c r="E5" s="17" t="s">
        <v>49</v>
      </c>
      <c r="F5" s="18">
        <v>50</v>
      </c>
      <c r="G5" s="17" t="s">
        <v>51</v>
      </c>
      <c r="H5" s="18">
        <v>10</v>
      </c>
      <c r="I5" s="19" t="s">
        <v>52</v>
      </c>
      <c r="J5" s="17" t="s">
        <v>46</v>
      </c>
      <c r="K5" s="20">
        <v>46143</v>
      </c>
      <c r="L5" s="18">
        <v>10</v>
      </c>
      <c r="M5" s="18" t="s">
        <v>47</v>
      </c>
      <c r="N5" s="17"/>
      <c r="O5" s="18">
        <v>6</v>
      </c>
      <c r="P5" s="17" t="s">
        <v>71</v>
      </c>
      <c r="Q5" s="15" t="str">
        <f ca="1">IFERROR(__xludf.DUMMYFUNCTION("IF(P231="""","""",IF(REGEXMATCH(UPPER(P231),""CITRATE""),""Citrate"",IF(REGEXMATCH(UPPER(P231),""ACETATE""),""Sodium Acetate"",IF(REGEXMATCH(UPPER(P231),""PBS""),""PBS"",IF(REGEXMATCH(UPPER(P231),""TRIS""),""Tris"",IF(REGEXMATCH(UPPER(P231),""HEPES""),""H"&amp;"EPES"",IF(REGEXMATCH(UPPER(P231),""HISTIDINE""),""Histidine"",IF(REGEXMATCH(UPPER(P231),""SUCCINATE""),""Succinate"",IF(REGEXMATCH(UPPER(P231),""GLYCINE""),""Glycine"",P231)))))))))"),"Citrate")</f>
        <v>Citrate</v>
      </c>
      <c r="R5" s="16">
        <v>4</v>
      </c>
      <c r="S5" s="16">
        <v>25</v>
      </c>
      <c r="T5" s="19">
        <v>5</v>
      </c>
      <c r="U5" s="19">
        <v>10</v>
      </c>
      <c r="V5" s="21" t="s">
        <v>48</v>
      </c>
      <c r="W5" s="22" t="s">
        <v>75</v>
      </c>
      <c r="X5" s="19" t="s">
        <v>76</v>
      </c>
      <c r="Y5" s="19" t="s">
        <v>77</v>
      </c>
      <c r="Z5" s="19">
        <v>87</v>
      </c>
    </row>
    <row r="6" spans="1:28" ht="18" customHeight="1">
      <c r="A6">
        <f t="shared" ref="A6:A53" si="0">A5+1</f>
        <v>3</v>
      </c>
      <c r="E6" s="17" t="s">
        <v>49</v>
      </c>
      <c r="F6" s="18">
        <v>50</v>
      </c>
      <c r="G6" s="17" t="s">
        <v>51</v>
      </c>
      <c r="H6" s="18">
        <v>10</v>
      </c>
      <c r="I6" s="19" t="s">
        <v>52</v>
      </c>
      <c r="J6" s="17" t="s">
        <v>46</v>
      </c>
      <c r="K6" s="20">
        <v>46143</v>
      </c>
      <c r="L6" s="18">
        <v>10</v>
      </c>
      <c r="M6" s="18" t="s">
        <v>47</v>
      </c>
      <c r="N6" s="17"/>
      <c r="O6" s="18">
        <v>6</v>
      </c>
      <c r="P6" s="17" t="s">
        <v>71</v>
      </c>
      <c r="Q6" s="15" t="str">
        <f ca="1">IFERROR(__xludf.DUMMYFUNCTION("IF(P232="""","""",IF(REGEXMATCH(UPPER(P232),""CITRATE""),""Citrate"",IF(REGEXMATCH(UPPER(P232),""ACETATE""),""Sodium Acetate"",IF(REGEXMATCH(UPPER(P232),""PBS""),""PBS"",IF(REGEXMATCH(UPPER(P232),""TRIS""),""Tris"",IF(REGEXMATCH(UPPER(P232),""HEPES""),""H"&amp;"EPES"",IF(REGEXMATCH(UPPER(P232),""HISTIDINE""),""Histidine"",IF(REGEXMATCH(UPPER(P232),""SUCCINATE""),""Succinate"",IF(REGEXMATCH(UPPER(P232),""GLYCINE""),""Glycine"",P232)))))))))"),"Citrate")</f>
        <v>Citrate</v>
      </c>
      <c r="R6" s="16">
        <v>4</v>
      </c>
      <c r="S6" s="16">
        <v>25</v>
      </c>
      <c r="T6" s="19">
        <v>5</v>
      </c>
      <c r="U6" s="19">
        <v>10</v>
      </c>
      <c r="V6" s="21" t="s">
        <v>48</v>
      </c>
      <c r="W6" s="22" t="s">
        <v>78</v>
      </c>
      <c r="X6" s="19" t="s">
        <v>79</v>
      </c>
      <c r="Y6" s="19" t="s">
        <v>80</v>
      </c>
      <c r="Z6" s="19">
        <v>78</v>
      </c>
    </row>
    <row r="7" spans="1:28" ht="18" customHeight="1">
      <c r="A7">
        <f t="shared" si="0"/>
        <v>4</v>
      </c>
      <c r="E7" s="17" t="s">
        <v>49</v>
      </c>
      <c r="F7" s="18">
        <v>50</v>
      </c>
      <c r="G7" s="17" t="s">
        <v>51</v>
      </c>
      <c r="H7" s="18">
        <v>10</v>
      </c>
      <c r="I7" s="19" t="s">
        <v>52</v>
      </c>
      <c r="J7" s="17" t="s">
        <v>46</v>
      </c>
      <c r="K7" s="20">
        <v>46143</v>
      </c>
      <c r="L7" s="18">
        <v>10</v>
      </c>
      <c r="M7" s="18" t="s">
        <v>47</v>
      </c>
      <c r="N7" s="17"/>
      <c r="O7" s="18">
        <v>6</v>
      </c>
      <c r="P7" s="17" t="s">
        <v>71</v>
      </c>
      <c r="Q7" s="15" t="str">
        <f ca="1">IFERROR(__xludf.DUMMYFUNCTION("IF(P233="""","""",IF(REGEXMATCH(UPPER(P233),""CITRATE""),""Citrate"",IF(REGEXMATCH(UPPER(P233),""ACETATE""),""Sodium Acetate"",IF(REGEXMATCH(UPPER(P233),""PBS""),""PBS"",IF(REGEXMATCH(UPPER(P233),""TRIS""),""Tris"",IF(REGEXMATCH(UPPER(P233),""HEPES""),""H"&amp;"EPES"",IF(REGEXMATCH(UPPER(P233),""HISTIDINE""),""Histidine"",IF(REGEXMATCH(UPPER(P233),""SUCCINATE""),""Succinate"",IF(REGEXMATCH(UPPER(P233),""GLYCINE""),""Glycine"",P233)))))))))"),"Citrate")</f>
        <v>Citrate</v>
      </c>
      <c r="R7" s="16">
        <v>4</v>
      </c>
      <c r="S7" s="16">
        <v>25</v>
      </c>
      <c r="T7" s="19">
        <v>5</v>
      </c>
      <c r="U7" s="19">
        <v>10</v>
      </c>
      <c r="V7" s="21" t="s">
        <v>48</v>
      </c>
      <c r="W7" s="22" t="s">
        <v>81</v>
      </c>
      <c r="X7" s="22" t="s">
        <v>82</v>
      </c>
      <c r="Y7" s="19" t="s">
        <v>83</v>
      </c>
      <c r="Z7" s="19">
        <v>86</v>
      </c>
    </row>
    <row r="8" spans="1:28" ht="18" customHeight="1">
      <c r="A8">
        <f t="shared" si="0"/>
        <v>5</v>
      </c>
      <c r="E8" s="17" t="s">
        <v>49</v>
      </c>
      <c r="F8" s="18">
        <v>50</v>
      </c>
      <c r="G8" s="17" t="s">
        <v>51</v>
      </c>
      <c r="H8" s="18">
        <v>10</v>
      </c>
      <c r="I8" s="19" t="s">
        <v>52</v>
      </c>
      <c r="J8" s="17" t="s">
        <v>46</v>
      </c>
      <c r="K8" s="20">
        <v>46143</v>
      </c>
      <c r="L8" s="18">
        <v>10</v>
      </c>
      <c r="M8" s="18" t="s">
        <v>47</v>
      </c>
      <c r="N8" s="17"/>
      <c r="O8" s="18">
        <v>6</v>
      </c>
      <c r="P8" s="17" t="s">
        <v>71</v>
      </c>
      <c r="Q8" s="15" t="str">
        <f ca="1">IFERROR(__xludf.DUMMYFUNCTION("IF(P234="""","""",IF(REGEXMATCH(UPPER(P234),""CITRATE""),""Citrate"",IF(REGEXMATCH(UPPER(P234),""ACETATE""),""Sodium Acetate"",IF(REGEXMATCH(UPPER(P234),""PBS""),""PBS"",IF(REGEXMATCH(UPPER(P234),""TRIS""),""Tris"",IF(REGEXMATCH(UPPER(P234),""HEPES""),""H"&amp;"EPES"",IF(REGEXMATCH(UPPER(P234),""HISTIDINE""),""Histidine"",IF(REGEXMATCH(UPPER(P234),""SUCCINATE""),""Succinate"",IF(REGEXMATCH(UPPER(P234),""GLYCINE""),""Glycine"",P234)))))))))"),"Citrate")</f>
        <v>Citrate</v>
      </c>
      <c r="R8" s="16">
        <v>4</v>
      </c>
      <c r="S8" s="16">
        <v>25</v>
      </c>
      <c r="T8" s="19">
        <v>5</v>
      </c>
      <c r="U8" s="19">
        <v>10</v>
      </c>
      <c r="V8" s="21" t="s">
        <v>48</v>
      </c>
      <c r="W8" s="22" t="s">
        <v>84</v>
      </c>
      <c r="X8" s="23" t="s">
        <v>85</v>
      </c>
      <c r="Y8" s="19" t="s">
        <v>53</v>
      </c>
      <c r="Z8" s="19">
        <v>90</v>
      </c>
    </row>
    <row r="9" spans="1:28" ht="18" customHeight="1">
      <c r="A9">
        <f t="shared" si="0"/>
        <v>6</v>
      </c>
      <c r="E9" s="17" t="s">
        <v>49</v>
      </c>
      <c r="F9" s="18">
        <v>50</v>
      </c>
      <c r="G9" s="17" t="s">
        <v>51</v>
      </c>
      <c r="H9" s="18">
        <v>10</v>
      </c>
      <c r="I9" s="19" t="s">
        <v>52</v>
      </c>
      <c r="J9" s="17" t="s">
        <v>46</v>
      </c>
      <c r="K9" s="20">
        <v>46143</v>
      </c>
      <c r="L9" s="18">
        <v>10</v>
      </c>
      <c r="M9" s="18" t="s">
        <v>47</v>
      </c>
      <c r="N9" s="17"/>
      <c r="O9" s="18">
        <v>6</v>
      </c>
      <c r="P9" s="17" t="s">
        <v>71</v>
      </c>
      <c r="Q9" s="15" t="str">
        <f ca="1">IFERROR(__xludf.DUMMYFUNCTION("IF(P235="""","""",IF(REGEXMATCH(UPPER(P235),""CITRATE""),""Citrate"",IF(REGEXMATCH(UPPER(P235),""ACETATE""),""Sodium Acetate"",IF(REGEXMATCH(UPPER(P235),""PBS""),""PBS"",IF(REGEXMATCH(UPPER(P235),""TRIS""),""Tris"",IF(REGEXMATCH(UPPER(P235),""HEPES""),""H"&amp;"EPES"",IF(REGEXMATCH(UPPER(P235),""HISTIDINE""),""Histidine"",IF(REGEXMATCH(UPPER(P235),""SUCCINATE""),""Succinate"",IF(REGEXMATCH(UPPER(P235),""GLYCINE""),""Glycine"",P235)))))))))"),"Citrate")</f>
        <v>Citrate</v>
      </c>
      <c r="R9" s="16">
        <v>4</v>
      </c>
      <c r="S9" s="16">
        <v>25</v>
      </c>
      <c r="T9" s="19">
        <v>5</v>
      </c>
      <c r="U9" s="19">
        <v>10</v>
      </c>
      <c r="V9" s="21" t="s">
        <v>48</v>
      </c>
      <c r="W9" s="22" t="s">
        <v>86</v>
      </c>
      <c r="X9" s="19" t="s">
        <v>87</v>
      </c>
      <c r="Y9" s="24">
        <v>46024</v>
      </c>
      <c r="Z9" s="19">
        <v>92</v>
      </c>
    </row>
    <row r="10" spans="1:28" ht="18" customHeight="1">
      <c r="A10">
        <f t="shared" si="0"/>
        <v>7</v>
      </c>
      <c r="E10" s="17" t="s">
        <v>49</v>
      </c>
      <c r="F10" s="18">
        <v>50</v>
      </c>
      <c r="G10" s="17" t="s">
        <v>51</v>
      </c>
      <c r="H10" s="18">
        <v>10</v>
      </c>
      <c r="I10" s="19" t="s">
        <v>52</v>
      </c>
      <c r="J10" s="17" t="s">
        <v>46</v>
      </c>
      <c r="K10" s="20">
        <v>46143</v>
      </c>
      <c r="L10" s="18">
        <v>10</v>
      </c>
      <c r="M10" s="18" t="s">
        <v>47</v>
      </c>
      <c r="N10" s="17"/>
      <c r="O10" s="18">
        <v>6</v>
      </c>
      <c r="P10" s="17" t="s">
        <v>71</v>
      </c>
      <c r="Q10" s="15" t="str">
        <f ca="1">IFERROR(__xludf.DUMMYFUNCTION("IF(P236="""","""",IF(REGEXMATCH(UPPER(P236),""CITRATE""),""Citrate"",IF(REGEXMATCH(UPPER(P236),""ACETATE""),""Sodium Acetate"",IF(REGEXMATCH(UPPER(P236),""PBS""),""PBS"",IF(REGEXMATCH(UPPER(P236),""TRIS""),""Tris"",IF(REGEXMATCH(UPPER(P236),""HEPES""),""H"&amp;"EPES"",IF(REGEXMATCH(UPPER(P236),""HISTIDINE""),""Histidine"",IF(REGEXMATCH(UPPER(P236),""SUCCINATE""),""Succinate"",IF(REGEXMATCH(UPPER(P236),""GLYCINE""),""Glycine"",P236)))))))))"),"Citrate")</f>
        <v>Citrate</v>
      </c>
      <c r="R10" s="16">
        <v>4</v>
      </c>
      <c r="S10" s="16">
        <v>25</v>
      </c>
      <c r="T10" s="19">
        <v>3</v>
      </c>
      <c r="U10" s="19">
        <v>10</v>
      </c>
      <c r="V10" s="21" t="s">
        <v>48</v>
      </c>
      <c r="W10" s="22" t="s">
        <v>88</v>
      </c>
      <c r="X10" s="19" t="s">
        <v>89</v>
      </c>
      <c r="Y10" s="19" t="s">
        <v>55</v>
      </c>
      <c r="Z10" s="19">
        <v>92</v>
      </c>
    </row>
    <row r="11" spans="1:28" ht="18" customHeight="1">
      <c r="A11">
        <f t="shared" si="0"/>
        <v>8</v>
      </c>
      <c r="E11" s="17" t="s">
        <v>49</v>
      </c>
      <c r="F11" s="18">
        <v>50</v>
      </c>
      <c r="G11" s="17" t="s">
        <v>51</v>
      </c>
      <c r="H11" s="18">
        <v>10</v>
      </c>
      <c r="I11" s="19" t="s">
        <v>52</v>
      </c>
      <c r="J11" s="17" t="s">
        <v>46</v>
      </c>
      <c r="K11" s="20">
        <v>46143</v>
      </c>
      <c r="L11" s="18">
        <v>10</v>
      </c>
      <c r="M11" s="18" t="s">
        <v>47</v>
      </c>
      <c r="N11" s="17"/>
      <c r="O11" s="18">
        <v>6</v>
      </c>
      <c r="P11" s="17" t="s">
        <v>71</v>
      </c>
      <c r="Q11" s="15" t="str">
        <f ca="1">IFERROR(__xludf.DUMMYFUNCTION("IF(P237="""","""",IF(REGEXMATCH(UPPER(P237),""CITRATE""),""Citrate"",IF(REGEXMATCH(UPPER(P237),""ACETATE""),""Sodium Acetate"",IF(REGEXMATCH(UPPER(P237),""PBS""),""PBS"",IF(REGEXMATCH(UPPER(P237),""TRIS""),""Tris"",IF(REGEXMATCH(UPPER(P237),""HEPES""),""H"&amp;"EPES"",IF(REGEXMATCH(UPPER(P237),""HISTIDINE""),""Histidine"",IF(REGEXMATCH(UPPER(P237),""SUCCINATE""),""Succinate"",IF(REGEXMATCH(UPPER(P237),""GLYCINE""),""Glycine"",P237)))))))))"),"Citrate")</f>
        <v>Citrate</v>
      </c>
      <c r="R11" s="16">
        <v>4</v>
      </c>
      <c r="S11" s="16">
        <v>25</v>
      </c>
      <c r="T11" s="19">
        <v>3</v>
      </c>
      <c r="U11" s="19">
        <v>10</v>
      </c>
      <c r="V11" s="21" t="s">
        <v>48</v>
      </c>
      <c r="W11" s="22" t="s">
        <v>90</v>
      </c>
      <c r="X11" s="23" t="s">
        <v>91</v>
      </c>
      <c r="Y11" s="19" t="s">
        <v>54</v>
      </c>
      <c r="Z11" s="19">
        <v>88</v>
      </c>
    </row>
    <row r="12" spans="1:28" ht="18" customHeight="1">
      <c r="A12">
        <f t="shared" si="0"/>
        <v>9</v>
      </c>
      <c r="E12" s="17" t="s">
        <v>49</v>
      </c>
      <c r="F12" s="18">
        <v>50</v>
      </c>
      <c r="G12" s="17" t="s">
        <v>51</v>
      </c>
      <c r="H12" s="18">
        <v>10</v>
      </c>
      <c r="I12" s="19" t="s">
        <v>52</v>
      </c>
      <c r="J12" s="17" t="s">
        <v>46</v>
      </c>
      <c r="K12" s="20">
        <v>46143</v>
      </c>
      <c r="L12" s="18">
        <v>10</v>
      </c>
      <c r="M12" s="18" t="s">
        <v>47</v>
      </c>
      <c r="N12" s="17"/>
      <c r="O12" s="18">
        <v>6</v>
      </c>
      <c r="P12" s="17" t="s">
        <v>71</v>
      </c>
      <c r="Q12" s="15" t="str">
        <f ca="1">IFERROR(__xludf.DUMMYFUNCTION("IF(P238="""","""",IF(REGEXMATCH(UPPER(P238),""CITRATE""),""Citrate"",IF(REGEXMATCH(UPPER(P238),""ACETATE""),""Sodium Acetate"",IF(REGEXMATCH(UPPER(P238),""PBS""),""PBS"",IF(REGEXMATCH(UPPER(P238),""TRIS""),""Tris"",IF(REGEXMATCH(UPPER(P238),""HEPES""),""H"&amp;"EPES"",IF(REGEXMATCH(UPPER(P238),""HISTIDINE""),""Histidine"",IF(REGEXMATCH(UPPER(P238),""SUCCINATE""),""Succinate"",IF(REGEXMATCH(UPPER(P238),""GLYCINE""),""Glycine"",P238)))))))))"),"Citrate")</f>
        <v>Citrate</v>
      </c>
      <c r="R12" s="16">
        <v>4</v>
      </c>
      <c r="S12" s="16">
        <v>25</v>
      </c>
      <c r="T12" s="19">
        <v>3</v>
      </c>
      <c r="U12" s="19">
        <v>10</v>
      </c>
      <c r="V12" s="21" t="s">
        <v>48</v>
      </c>
      <c r="W12" s="22" t="s">
        <v>92</v>
      </c>
      <c r="X12" s="19" t="s">
        <v>93</v>
      </c>
      <c r="Y12" s="19" t="s">
        <v>94</v>
      </c>
      <c r="Z12" s="19">
        <v>86</v>
      </c>
    </row>
    <row r="13" spans="1:28" ht="18" customHeight="1">
      <c r="A13">
        <f t="shared" si="0"/>
        <v>10</v>
      </c>
      <c r="E13" s="17" t="s">
        <v>49</v>
      </c>
      <c r="F13" s="18">
        <v>50</v>
      </c>
      <c r="G13" s="17" t="s">
        <v>51</v>
      </c>
      <c r="H13" s="18">
        <v>10</v>
      </c>
      <c r="I13" s="19" t="s">
        <v>52</v>
      </c>
      <c r="J13" s="17" t="s">
        <v>46</v>
      </c>
      <c r="K13" s="20">
        <v>46143</v>
      </c>
      <c r="L13" s="18">
        <v>10</v>
      </c>
      <c r="M13" s="18" t="s">
        <v>47</v>
      </c>
      <c r="N13" s="17"/>
      <c r="O13" s="18">
        <v>6</v>
      </c>
      <c r="P13" s="17" t="s">
        <v>71</v>
      </c>
      <c r="Q13" s="15" t="str">
        <f ca="1">IFERROR(__xludf.DUMMYFUNCTION("IF(P239="""","""",IF(REGEXMATCH(UPPER(P239),""CITRATE""),""Citrate"",IF(REGEXMATCH(UPPER(P239),""ACETATE""),""Sodium Acetate"",IF(REGEXMATCH(UPPER(P239),""PBS""),""PBS"",IF(REGEXMATCH(UPPER(P239),""TRIS""),""Tris"",IF(REGEXMATCH(UPPER(P239),""HEPES""),""H"&amp;"EPES"",IF(REGEXMATCH(UPPER(P239),""HISTIDINE""),""Histidine"",IF(REGEXMATCH(UPPER(P239),""SUCCINATE""),""Succinate"",IF(REGEXMATCH(UPPER(P239),""GLYCINE""),""Glycine"",P239)))))))))"),"Citrate")</f>
        <v>Citrate</v>
      </c>
      <c r="R13" s="16">
        <v>4</v>
      </c>
      <c r="S13" s="16">
        <v>25</v>
      </c>
      <c r="T13" s="19">
        <v>3</v>
      </c>
      <c r="U13" s="19">
        <v>10</v>
      </c>
      <c r="V13" s="21" t="s">
        <v>48</v>
      </c>
      <c r="W13" s="22" t="s">
        <v>95</v>
      </c>
      <c r="X13" s="19" t="s">
        <v>96</v>
      </c>
      <c r="Y13" s="19" t="s">
        <v>97</v>
      </c>
      <c r="Z13" s="19">
        <v>97</v>
      </c>
    </row>
    <row r="14" spans="1:28" ht="18" customHeight="1">
      <c r="A14">
        <f t="shared" si="0"/>
        <v>11</v>
      </c>
      <c r="E14" s="17" t="s">
        <v>49</v>
      </c>
      <c r="F14" s="18">
        <v>50</v>
      </c>
      <c r="G14" s="17" t="s">
        <v>51</v>
      </c>
      <c r="H14" s="18">
        <v>10</v>
      </c>
      <c r="I14" s="19" t="s">
        <v>52</v>
      </c>
      <c r="J14" s="17" t="s">
        <v>46</v>
      </c>
      <c r="K14" s="20">
        <v>46143</v>
      </c>
      <c r="L14" s="18">
        <v>10</v>
      </c>
      <c r="M14" s="18" t="s">
        <v>47</v>
      </c>
      <c r="N14" s="17"/>
      <c r="O14" s="18">
        <v>6</v>
      </c>
      <c r="P14" s="17" t="s">
        <v>71</v>
      </c>
      <c r="Q14" s="15" t="str">
        <f ca="1">IFERROR(__xludf.DUMMYFUNCTION("IF(P240="""","""",IF(REGEXMATCH(UPPER(P240),""CITRATE""),""Citrate"",IF(REGEXMATCH(UPPER(P240),""ACETATE""),""Sodium Acetate"",IF(REGEXMATCH(UPPER(P240),""PBS""),""PBS"",IF(REGEXMATCH(UPPER(P240),""TRIS""),""Tris"",IF(REGEXMATCH(UPPER(P240),""HEPES""),""H"&amp;"EPES"",IF(REGEXMATCH(UPPER(P240),""HISTIDINE""),""Histidine"",IF(REGEXMATCH(UPPER(P240),""SUCCINATE""),""Succinate"",IF(REGEXMATCH(UPPER(P240),""GLYCINE""),""Glycine"",P240)))))))))"),"Citrate")</f>
        <v>Citrate</v>
      </c>
      <c r="R14" s="16">
        <v>4</v>
      </c>
      <c r="S14" s="16">
        <v>25</v>
      </c>
      <c r="T14" s="19">
        <v>3</v>
      </c>
      <c r="U14" s="19">
        <v>10</v>
      </c>
      <c r="V14" s="21" t="s">
        <v>48</v>
      </c>
      <c r="W14" s="22" t="s">
        <v>98</v>
      </c>
      <c r="X14" s="23" t="s">
        <v>99</v>
      </c>
      <c r="Y14" s="19" t="s">
        <v>83</v>
      </c>
      <c r="Z14" s="19">
        <v>96</v>
      </c>
    </row>
    <row r="15" spans="1:28" ht="14.25">
      <c r="A15">
        <f t="shared" si="0"/>
        <v>12</v>
      </c>
      <c r="E15" s="17" t="s">
        <v>49</v>
      </c>
      <c r="F15" s="18">
        <v>50</v>
      </c>
      <c r="G15" s="17" t="s">
        <v>51</v>
      </c>
      <c r="H15" s="18">
        <v>10</v>
      </c>
      <c r="I15" s="19" t="s">
        <v>52</v>
      </c>
      <c r="J15" s="17" t="s">
        <v>46</v>
      </c>
      <c r="K15" s="20">
        <v>46143</v>
      </c>
      <c r="L15" s="18">
        <v>10</v>
      </c>
      <c r="M15" s="18" t="s">
        <v>47</v>
      </c>
      <c r="N15" s="17"/>
      <c r="O15" s="18">
        <v>6</v>
      </c>
      <c r="P15" s="17" t="s">
        <v>71</v>
      </c>
      <c r="Q15" s="15" t="str">
        <f ca="1">IFERROR(__xludf.DUMMYFUNCTION("IF(P241="""","""",IF(REGEXMATCH(UPPER(P241),""CITRATE""),""Citrate"",IF(REGEXMATCH(UPPER(P241),""ACETATE""),""Sodium Acetate"",IF(REGEXMATCH(UPPER(P241),""PBS""),""PBS"",IF(REGEXMATCH(UPPER(P241),""TRIS""),""Tris"",IF(REGEXMATCH(UPPER(P241),""HEPES""),""H"&amp;"EPES"",IF(REGEXMATCH(UPPER(P241),""HISTIDINE""),""Histidine"",IF(REGEXMATCH(UPPER(P241),""SUCCINATE""),""Succinate"",IF(REGEXMATCH(UPPER(P241),""GLYCINE""),""Glycine"",P241)))))))))"),"Citrate")</f>
        <v>Citrate</v>
      </c>
      <c r="R15" s="16">
        <v>4</v>
      </c>
      <c r="S15" s="16">
        <v>25</v>
      </c>
      <c r="T15" s="19">
        <v>3</v>
      </c>
      <c r="U15" s="19">
        <v>10</v>
      </c>
      <c r="V15" s="21" t="s">
        <v>48</v>
      </c>
      <c r="W15" s="22" t="s">
        <v>100</v>
      </c>
      <c r="X15" s="19" t="s">
        <v>101</v>
      </c>
      <c r="Y15" s="19" t="s">
        <v>102</v>
      </c>
      <c r="Z15" s="19">
        <v>88</v>
      </c>
    </row>
    <row r="16" spans="1:28" ht="18" customHeight="1">
      <c r="A16">
        <f t="shared" si="0"/>
        <v>13</v>
      </c>
      <c r="E16" s="17" t="s">
        <v>50</v>
      </c>
      <c r="F16" s="18">
        <v>50</v>
      </c>
      <c r="G16" s="17" t="s">
        <v>51</v>
      </c>
      <c r="H16" s="18">
        <v>10</v>
      </c>
      <c r="I16" s="19" t="s">
        <v>52</v>
      </c>
      <c r="J16" s="17" t="s">
        <v>46</v>
      </c>
      <c r="K16" s="20">
        <v>46143</v>
      </c>
      <c r="L16" s="18">
        <v>10</v>
      </c>
      <c r="M16" s="18" t="s">
        <v>47</v>
      </c>
      <c r="N16" s="17"/>
      <c r="O16" s="18">
        <v>6</v>
      </c>
      <c r="P16" s="17" t="s">
        <v>71</v>
      </c>
      <c r="Q16" s="15" t="str">
        <f ca="1">IFERROR(__xludf.DUMMYFUNCTION("IF(P242="""","""",IF(REGEXMATCH(UPPER(P242),""CITRATE""),""Citrate"",IF(REGEXMATCH(UPPER(P242),""ACETATE""),""Sodium Acetate"",IF(REGEXMATCH(UPPER(P242),""PBS""),""PBS"",IF(REGEXMATCH(UPPER(P242),""TRIS""),""Tris"",IF(REGEXMATCH(UPPER(P242),""HEPES""),""H"&amp;"EPES"",IF(REGEXMATCH(UPPER(P242),""HISTIDINE""),""Histidine"",IF(REGEXMATCH(UPPER(P242),""SUCCINATE""),""Succinate"",IF(REGEXMATCH(UPPER(P242),""GLYCINE""),""Glycine"",P242)))))))))"),"Citrate")</f>
        <v>Citrate</v>
      </c>
      <c r="R16" s="16">
        <v>4</v>
      </c>
      <c r="S16" s="16">
        <v>25</v>
      </c>
      <c r="T16" s="19">
        <v>5</v>
      </c>
      <c r="U16" s="19">
        <v>10</v>
      </c>
      <c r="V16" s="21" t="s">
        <v>48</v>
      </c>
      <c r="W16" s="22" t="s">
        <v>95</v>
      </c>
      <c r="X16" s="19" t="s">
        <v>103</v>
      </c>
      <c r="Y16" s="24">
        <v>46206</v>
      </c>
      <c r="Z16" s="19">
        <v>91</v>
      </c>
    </row>
    <row r="17" spans="1:26" ht="18" customHeight="1">
      <c r="A17">
        <f t="shared" si="0"/>
        <v>14</v>
      </c>
      <c r="E17" s="17" t="s">
        <v>50</v>
      </c>
      <c r="F17" s="18">
        <v>50</v>
      </c>
      <c r="G17" s="17" t="s">
        <v>51</v>
      </c>
      <c r="H17" s="18">
        <v>10</v>
      </c>
      <c r="I17" s="19" t="s">
        <v>52</v>
      </c>
      <c r="J17" s="17" t="s">
        <v>46</v>
      </c>
      <c r="K17" s="20">
        <v>46143</v>
      </c>
      <c r="L17" s="18">
        <v>10</v>
      </c>
      <c r="M17" s="18" t="s">
        <v>47</v>
      </c>
      <c r="N17" s="17"/>
      <c r="O17" s="18">
        <v>6</v>
      </c>
      <c r="P17" s="17" t="s">
        <v>71</v>
      </c>
      <c r="Q17" s="15" t="str">
        <f ca="1">IFERROR(__xludf.DUMMYFUNCTION("IF(P243="""","""",IF(REGEXMATCH(UPPER(P243),""CITRATE""),""Citrate"",IF(REGEXMATCH(UPPER(P243),""ACETATE""),""Sodium Acetate"",IF(REGEXMATCH(UPPER(P243),""PBS""),""PBS"",IF(REGEXMATCH(UPPER(P243),""TRIS""),""Tris"",IF(REGEXMATCH(UPPER(P243),""HEPES""),""H"&amp;"EPES"",IF(REGEXMATCH(UPPER(P243),""HISTIDINE""),""Histidine"",IF(REGEXMATCH(UPPER(P243),""SUCCINATE""),""Succinate"",IF(REGEXMATCH(UPPER(P243),""GLYCINE""),""Glycine"",P243)))))))))"),"Citrate")</f>
        <v>Citrate</v>
      </c>
      <c r="R17" s="16">
        <v>4</v>
      </c>
      <c r="S17" s="16">
        <v>25</v>
      </c>
      <c r="T17" s="19">
        <v>5</v>
      </c>
      <c r="U17" s="19">
        <v>10</v>
      </c>
      <c r="V17" s="21" t="s">
        <v>48</v>
      </c>
      <c r="W17" s="22">
        <v>89</v>
      </c>
      <c r="X17" s="19" t="s">
        <v>65</v>
      </c>
      <c r="Y17" s="19" t="s">
        <v>97</v>
      </c>
      <c r="Z17" s="19">
        <v>98</v>
      </c>
    </row>
    <row r="18" spans="1:26" ht="18" customHeight="1">
      <c r="A18">
        <f t="shared" si="0"/>
        <v>15</v>
      </c>
      <c r="E18" s="17" t="s">
        <v>50</v>
      </c>
      <c r="F18" s="18">
        <v>50</v>
      </c>
      <c r="G18" s="17" t="s">
        <v>51</v>
      </c>
      <c r="H18" s="18">
        <v>10</v>
      </c>
      <c r="I18" s="19" t="s">
        <v>52</v>
      </c>
      <c r="J18" s="17" t="s">
        <v>46</v>
      </c>
      <c r="K18" s="20">
        <v>46143</v>
      </c>
      <c r="L18" s="18">
        <v>10</v>
      </c>
      <c r="M18" s="18" t="s">
        <v>47</v>
      </c>
      <c r="N18" s="17"/>
      <c r="O18" s="18">
        <v>6</v>
      </c>
      <c r="P18" s="17" t="s">
        <v>71</v>
      </c>
      <c r="Q18" s="15" t="str">
        <f ca="1">IFERROR(__xludf.DUMMYFUNCTION("IF(P244="""","""",IF(REGEXMATCH(UPPER(P244),""CITRATE""),""Citrate"",IF(REGEXMATCH(UPPER(P244),""ACETATE""),""Sodium Acetate"",IF(REGEXMATCH(UPPER(P244),""PBS""),""PBS"",IF(REGEXMATCH(UPPER(P244),""TRIS""),""Tris"",IF(REGEXMATCH(UPPER(P244),""HEPES""),""H"&amp;"EPES"",IF(REGEXMATCH(UPPER(P244),""HISTIDINE""),""Histidine"",IF(REGEXMATCH(UPPER(P244),""SUCCINATE""),""Succinate"",IF(REGEXMATCH(UPPER(P244),""GLYCINE""),""Glycine"",P244)))))))))"),"Citrate")</f>
        <v>Citrate</v>
      </c>
      <c r="R18" s="16">
        <v>4</v>
      </c>
      <c r="S18" s="16">
        <v>25</v>
      </c>
      <c r="T18" s="19">
        <v>5</v>
      </c>
      <c r="U18" s="19">
        <v>10</v>
      </c>
      <c r="V18" s="21" t="s">
        <v>48</v>
      </c>
      <c r="W18" s="22" t="s">
        <v>104</v>
      </c>
      <c r="X18" s="19" t="s">
        <v>105</v>
      </c>
      <c r="Y18" s="24">
        <v>46268</v>
      </c>
      <c r="Z18" s="19">
        <v>87</v>
      </c>
    </row>
    <row r="19" spans="1:26" ht="18" customHeight="1">
      <c r="A19">
        <f t="shared" si="0"/>
        <v>16</v>
      </c>
      <c r="E19" s="17" t="s">
        <v>50</v>
      </c>
      <c r="F19" s="18">
        <v>50</v>
      </c>
      <c r="G19" s="17" t="s">
        <v>51</v>
      </c>
      <c r="H19" s="18">
        <v>10</v>
      </c>
      <c r="I19" s="19" t="s">
        <v>52</v>
      </c>
      <c r="J19" s="17" t="s">
        <v>46</v>
      </c>
      <c r="K19" s="20">
        <v>46143</v>
      </c>
      <c r="L19" s="18">
        <v>10</v>
      </c>
      <c r="M19" s="18" t="s">
        <v>47</v>
      </c>
      <c r="N19" s="17"/>
      <c r="O19" s="18">
        <v>6</v>
      </c>
      <c r="P19" s="17" t="s">
        <v>71</v>
      </c>
      <c r="Q19" s="15" t="str">
        <f ca="1">IFERROR(__xludf.DUMMYFUNCTION("IF(P245="""","""",IF(REGEXMATCH(UPPER(P245),""CITRATE""),""Citrate"",IF(REGEXMATCH(UPPER(P245),""ACETATE""),""Sodium Acetate"",IF(REGEXMATCH(UPPER(P245),""PBS""),""PBS"",IF(REGEXMATCH(UPPER(P245),""TRIS""),""Tris"",IF(REGEXMATCH(UPPER(P245),""HEPES""),""H"&amp;"EPES"",IF(REGEXMATCH(UPPER(P245),""HISTIDINE""),""Histidine"",IF(REGEXMATCH(UPPER(P245),""SUCCINATE""),""Succinate"",IF(REGEXMATCH(UPPER(P245),""GLYCINE""),""Glycine"",P245)))))))))"),"Citrate")</f>
        <v>Citrate</v>
      </c>
      <c r="R19" s="16">
        <v>4</v>
      </c>
      <c r="S19" s="16">
        <v>25</v>
      </c>
      <c r="T19" s="19">
        <v>5</v>
      </c>
      <c r="U19" s="19">
        <v>10</v>
      </c>
      <c r="V19" s="21" t="s">
        <v>48</v>
      </c>
      <c r="W19" s="22" t="s">
        <v>61</v>
      </c>
      <c r="X19" s="19" t="s">
        <v>106</v>
      </c>
      <c r="Y19" s="19" t="s">
        <v>97</v>
      </c>
      <c r="Z19" s="19">
        <v>85</v>
      </c>
    </row>
    <row r="20" spans="1:26" ht="18" customHeight="1">
      <c r="A20">
        <f t="shared" si="0"/>
        <v>17</v>
      </c>
      <c r="E20" s="17" t="s">
        <v>50</v>
      </c>
      <c r="F20" s="18">
        <v>50</v>
      </c>
      <c r="G20" s="17" t="s">
        <v>51</v>
      </c>
      <c r="H20" s="18">
        <v>10</v>
      </c>
      <c r="I20" s="19" t="s">
        <v>52</v>
      </c>
      <c r="J20" s="17" t="s">
        <v>46</v>
      </c>
      <c r="K20" s="20">
        <v>46143</v>
      </c>
      <c r="L20" s="18">
        <v>10</v>
      </c>
      <c r="M20" s="18" t="s">
        <v>47</v>
      </c>
      <c r="N20" s="17"/>
      <c r="O20" s="18">
        <v>6</v>
      </c>
      <c r="P20" s="17" t="s">
        <v>71</v>
      </c>
      <c r="Q20" s="15" t="str">
        <f ca="1">IFERROR(__xludf.DUMMYFUNCTION("IF(P246="""","""",IF(REGEXMATCH(UPPER(P246),""CITRATE""),""Citrate"",IF(REGEXMATCH(UPPER(P246),""ACETATE""),""Sodium Acetate"",IF(REGEXMATCH(UPPER(P246),""PBS""),""PBS"",IF(REGEXMATCH(UPPER(P246),""TRIS""),""Tris"",IF(REGEXMATCH(UPPER(P246),""HEPES""),""H"&amp;"EPES"",IF(REGEXMATCH(UPPER(P246),""HISTIDINE""),""Histidine"",IF(REGEXMATCH(UPPER(P246),""SUCCINATE""),""Succinate"",IF(REGEXMATCH(UPPER(P246),""GLYCINE""),""Glycine"",P246)))))))))"),"Citrate")</f>
        <v>Citrate</v>
      </c>
      <c r="R20" s="16">
        <v>4</v>
      </c>
      <c r="S20" s="16">
        <v>25</v>
      </c>
      <c r="T20" s="19">
        <v>5</v>
      </c>
      <c r="U20" s="19">
        <v>10</v>
      </c>
      <c r="V20" s="21" t="s">
        <v>48</v>
      </c>
      <c r="W20" s="22" t="s">
        <v>107</v>
      </c>
      <c r="X20" s="23" t="s">
        <v>108</v>
      </c>
      <c r="Y20" s="19" t="s">
        <v>109</v>
      </c>
      <c r="Z20" s="19">
        <v>92</v>
      </c>
    </row>
    <row r="21" spans="1:26" ht="18" customHeight="1">
      <c r="A21">
        <f t="shared" si="0"/>
        <v>18</v>
      </c>
      <c r="E21" s="17" t="s">
        <v>50</v>
      </c>
      <c r="F21" s="18">
        <v>50</v>
      </c>
      <c r="G21" s="17" t="s">
        <v>51</v>
      </c>
      <c r="H21" s="18">
        <v>10</v>
      </c>
      <c r="I21" s="19" t="s">
        <v>52</v>
      </c>
      <c r="J21" s="17" t="s">
        <v>46</v>
      </c>
      <c r="K21" s="20">
        <v>46143</v>
      </c>
      <c r="L21" s="18">
        <v>10</v>
      </c>
      <c r="M21" s="18" t="s">
        <v>47</v>
      </c>
      <c r="N21" s="17"/>
      <c r="O21" s="18">
        <v>6</v>
      </c>
      <c r="P21" s="17" t="s">
        <v>71</v>
      </c>
      <c r="Q21" s="15" t="str">
        <f ca="1">IFERROR(__xludf.DUMMYFUNCTION("IF(P247="""","""",IF(REGEXMATCH(UPPER(P247),""CITRATE""),""Citrate"",IF(REGEXMATCH(UPPER(P247),""ACETATE""),""Sodium Acetate"",IF(REGEXMATCH(UPPER(P247),""PBS""),""PBS"",IF(REGEXMATCH(UPPER(P247),""TRIS""),""Tris"",IF(REGEXMATCH(UPPER(P247),""HEPES""),""H"&amp;"EPES"",IF(REGEXMATCH(UPPER(P247),""HISTIDINE""),""Histidine"",IF(REGEXMATCH(UPPER(P247),""SUCCINATE""),""Succinate"",IF(REGEXMATCH(UPPER(P247),""GLYCINE""),""Glycine"",P247)))))))))"),"Citrate")</f>
        <v>Citrate</v>
      </c>
      <c r="R21" s="16">
        <v>4</v>
      </c>
      <c r="S21" s="16">
        <v>25</v>
      </c>
      <c r="T21" s="19">
        <v>5</v>
      </c>
      <c r="U21" s="19">
        <v>10</v>
      </c>
      <c r="V21" s="21" t="s">
        <v>48</v>
      </c>
      <c r="W21" s="22" t="s">
        <v>110</v>
      </c>
      <c r="X21" s="19" t="s">
        <v>111</v>
      </c>
      <c r="Y21" s="19" t="s">
        <v>112</v>
      </c>
      <c r="Z21" s="19">
        <v>94</v>
      </c>
    </row>
    <row r="22" spans="1:26" ht="18" customHeight="1">
      <c r="A22">
        <f t="shared" si="0"/>
        <v>19</v>
      </c>
      <c r="E22" s="17" t="s">
        <v>50</v>
      </c>
      <c r="F22" s="18">
        <v>50</v>
      </c>
      <c r="G22" s="17" t="s">
        <v>51</v>
      </c>
      <c r="H22" s="18">
        <v>10</v>
      </c>
      <c r="I22" s="19" t="s">
        <v>52</v>
      </c>
      <c r="J22" s="17" t="s">
        <v>46</v>
      </c>
      <c r="K22" s="20">
        <v>46143</v>
      </c>
      <c r="L22" s="18">
        <v>10</v>
      </c>
      <c r="M22" s="18" t="s">
        <v>47</v>
      </c>
      <c r="N22" s="17"/>
      <c r="O22" s="18">
        <v>6</v>
      </c>
      <c r="P22" s="17" t="s">
        <v>71</v>
      </c>
      <c r="Q22" s="15" t="str">
        <f ca="1">IFERROR(__xludf.DUMMYFUNCTION("IF(P248="""","""",IF(REGEXMATCH(UPPER(P248),""CITRATE""),""Citrate"",IF(REGEXMATCH(UPPER(P248),""ACETATE""),""Sodium Acetate"",IF(REGEXMATCH(UPPER(P248),""PBS""),""PBS"",IF(REGEXMATCH(UPPER(P248),""TRIS""),""Tris"",IF(REGEXMATCH(UPPER(P248),""HEPES""),""H"&amp;"EPES"",IF(REGEXMATCH(UPPER(P248),""HISTIDINE""),""Histidine"",IF(REGEXMATCH(UPPER(P248),""SUCCINATE""),""Succinate"",IF(REGEXMATCH(UPPER(P248),""GLYCINE""),""Glycine"",P248)))))))))"),"Citrate")</f>
        <v>Citrate</v>
      </c>
      <c r="R22" s="16">
        <v>4</v>
      </c>
      <c r="S22" s="16">
        <v>25</v>
      </c>
      <c r="T22" s="19">
        <v>3</v>
      </c>
      <c r="U22" s="19">
        <v>10</v>
      </c>
      <c r="V22" s="21" t="s">
        <v>48</v>
      </c>
      <c r="W22" s="22" t="s">
        <v>113</v>
      </c>
      <c r="X22" s="19" t="s">
        <v>114</v>
      </c>
      <c r="Y22" s="19">
        <v>-2</v>
      </c>
      <c r="Z22" s="19">
        <v>79</v>
      </c>
    </row>
    <row r="23" spans="1:26" ht="18" customHeight="1">
      <c r="A23">
        <f t="shared" si="0"/>
        <v>20</v>
      </c>
      <c r="E23" s="17" t="s">
        <v>50</v>
      </c>
      <c r="F23" s="18">
        <v>50</v>
      </c>
      <c r="G23" s="17" t="s">
        <v>51</v>
      </c>
      <c r="H23" s="18">
        <v>10</v>
      </c>
      <c r="I23" s="19" t="s">
        <v>52</v>
      </c>
      <c r="J23" s="17" t="s">
        <v>46</v>
      </c>
      <c r="K23" s="20">
        <v>46143</v>
      </c>
      <c r="L23" s="18">
        <v>10</v>
      </c>
      <c r="M23" s="18" t="s">
        <v>47</v>
      </c>
      <c r="N23" s="17"/>
      <c r="O23" s="18">
        <v>6</v>
      </c>
      <c r="P23" s="17" t="s">
        <v>71</v>
      </c>
      <c r="Q23" s="15" t="str">
        <f ca="1">IFERROR(__xludf.DUMMYFUNCTION("IF(P249="""","""",IF(REGEXMATCH(UPPER(P249),""CITRATE""),""Citrate"",IF(REGEXMATCH(UPPER(P249),""ACETATE""),""Sodium Acetate"",IF(REGEXMATCH(UPPER(P249),""PBS""),""PBS"",IF(REGEXMATCH(UPPER(P249),""TRIS""),""Tris"",IF(REGEXMATCH(UPPER(P249),""HEPES""),""H"&amp;"EPES"",IF(REGEXMATCH(UPPER(P249),""HISTIDINE""),""Histidine"",IF(REGEXMATCH(UPPER(P249),""SUCCINATE""),""Succinate"",IF(REGEXMATCH(UPPER(P249),""GLYCINE""),""Glycine"",P249)))))))))"),"Citrate")</f>
        <v>Citrate</v>
      </c>
      <c r="R23" s="16">
        <v>4</v>
      </c>
      <c r="S23" s="16">
        <v>25</v>
      </c>
      <c r="T23" s="19">
        <v>3</v>
      </c>
      <c r="U23" s="19">
        <v>10</v>
      </c>
      <c r="V23" s="21" t="s">
        <v>48</v>
      </c>
      <c r="W23" s="22" t="s">
        <v>115</v>
      </c>
      <c r="X23" s="19" t="s">
        <v>116</v>
      </c>
      <c r="Y23" s="19" t="s">
        <v>117</v>
      </c>
      <c r="Z23" s="19">
        <v>89</v>
      </c>
    </row>
    <row r="24" spans="1:26" ht="18" customHeight="1">
      <c r="A24">
        <f t="shared" si="0"/>
        <v>21</v>
      </c>
      <c r="E24" s="17" t="s">
        <v>50</v>
      </c>
      <c r="F24" s="18">
        <v>50</v>
      </c>
      <c r="G24" s="17" t="s">
        <v>51</v>
      </c>
      <c r="H24" s="18">
        <v>10</v>
      </c>
      <c r="I24" s="19" t="s">
        <v>52</v>
      </c>
      <c r="J24" s="17" t="s">
        <v>46</v>
      </c>
      <c r="K24" s="20">
        <v>46143</v>
      </c>
      <c r="L24" s="18">
        <v>10</v>
      </c>
      <c r="M24" s="18" t="s">
        <v>47</v>
      </c>
      <c r="N24" s="17"/>
      <c r="O24" s="18">
        <v>6</v>
      </c>
      <c r="P24" s="17" t="s">
        <v>71</v>
      </c>
      <c r="Q24" s="15" t="str">
        <f ca="1">IFERROR(__xludf.DUMMYFUNCTION("IF(P250="""","""",IF(REGEXMATCH(UPPER(P250),""CITRATE""),""Citrate"",IF(REGEXMATCH(UPPER(P250),""ACETATE""),""Sodium Acetate"",IF(REGEXMATCH(UPPER(P250),""PBS""),""PBS"",IF(REGEXMATCH(UPPER(P250),""TRIS""),""Tris"",IF(REGEXMATCH(UPPER(P250),""HEPES""),""H"&amp;"EPES"",IF(REGEXMATCH(UPPER(P250),""HISTIDINE""),""Histidine"",IF(REGEXMATCH(UPPER(P250),""SUCCINATE""),""Succinate"",IF(REGEXMATCH(UPPER(P250),""GLYCINE""),""Glycine"",P250)))))))))"),"Citrate")</f>
        <v>Citrate</v>
      </c>
      <c r="R24" s="16">
        <v>4</v>
      </c>
      <c r="S24" s="16">
        <v>25</v>
      </c>
      <c r="T24" s="19">
        <v>3</v>
      </c>
      <c r="U24" s="19">
        <v>10</v>
      </c>
      <c r="V24" s="21" t="s">
        <v>48</v>
      </c>
      <c r="W24" s="22" t="s">
        <v>118</v>
      </c>
      <c r="X24" s="22" t="s">
        <v>119</v>
      </c>
      <c r="Y24" s="19" t="s">
        <v>120</v>
      </c>
      <c r="Z24" s="19">
        <v>93</v>
      </c>
    </row>
    <row r="25" spans="1:26" ht="18" customHeight="1">
      <c r="A25">
        <f t="shared" si="0"/>
        <v>22</v>
      </c>
      <c r="E25" s="17" t="s">
        <v>50</v>
      </c>
      <c r="F25" s="18">
        <v>50</v>
      </c>
      <c r="G25" s="17" t="s">
        <v>51</v>
      </c>
      <c r="H25" s="18">
        <v>10</v>
      </c>
      <c r="I25" s="19" t="s">
        <v>52</v>
      </c>
      <c r="J25" s="17" t="s">
        <v>46</v>
      </c>
      <c r="K25" s="20">
        <v>46143</v>
      </c>
      <c r="L25" s="18">
        <v>10</v>
      </c>
      <c r="M25" s="18" t="s">
        <v>47</v>
      </c>
      <c r="N25" s="17"/>
      <c r="O25" s="18">
        <v>6</v>
      </c>
      <c r="P25" s="17" t="s">
        <v>71</v>
      </c>
      <c r="Q25" s="15" t="str">
        <f ca="1">IFERROR(__xludf.DUMMYFUNCTION("IF(P251="""","""",IF(REGEXMATCH(UPPER(P251),""CITRATE""),""Citrate"",IF(REGEXMATCH(UPPER(P251),""ACETATE""),""Sodium Acetate"",IF(REGEXMATCH(UPPER(P251),""PBS""),""PBS"",IF(REGEXMATCH(UPPER(P251),""TRIS""),""Tris"",IF(REGEXMATCH(UPPER(P251),""HEPES""),""H"&amp;"EPES"",IF(REGEXMATCH(UPPER(P251),""HISTIDINE""),""Histidine"",IF(REGEXMATCH(UPPER(P251),""SUCCINATE""),""Succinate"",IF(REGEXMATCH(UPPER(P251),""GLYCINE""),""Glycine"",P251)))))))))"),"Citrate")</f>
        <v>Citrate</v>
      </c>
      <c r="R25" s="16">
        <v>4</v>
      </c>
      <c r="S25" s="16">
        <v>25</v>
      </c>
      <c r="T25" s="19">
        <v>3</v>
      </c>
      <c r="U25" s="19">
        <v>10</v>
      </c>
      <c r="V25" s="21" t="s">
        <v>48</v>
      </c>
      <c r="W25" s="22" t="s">
        <v>121</v>
      </c>
      <c r="X25" s="19" t="s">
        <v>122</v>
      </c>
      <c r="Y25" s="19" t="s">
        <v>123</v>
      </c>
      <c r="Z25" s="19">
        <v>96</v>
      </c>
    </row>
    <row r="26" spans="1:26" ht="18" customHeight="1">
      <c r="A26">
        <f t="shared" si="0"/>
        <v>23</v>
      </c>
      <c r="E26" s="17" t="s">
        <v>50</v>
      </c>
      <c r="F26" s="18">
        <v>50</v>
      </c>
      <c r="G26" s="17" t="s">
        <v>51</v>
      </c>
      <c r="H26" s="18">
        <v>10</v>
      </c>
      <c r="I26" s="19" t="s">
        <v>52</v>
      </c>
      <c r="J26" s="17" t="s">
        <v>46</v>
      </c>
      <c r="K26" s="20">
        <v>46143</v>
      </c>
      <c r="L26" s="18">
        <v>10</v>
      </c>
      <c r="M26" s="18" t="s">
        <v>47</v>
      </c>
      <c r="N26" s="17"/>
      <c r="O26" s="18">
        <v>6</v>
      </c>
      <c r="P26" s="17" t="s">
        <v>71</v>
      </c>
      <c r="Q26" s="15" t="str">
        <f ca="1">IFERROR(__xludf.DUMMYFUNCTION("IF(P252="""","""",IF(REGEXMATCH(UPPER(P252),""CITRATE""),""Citrate"",IF(REGEXMATCH(UPPER(P252),""ACETATE""),""Sodium Acetate"",IF(REGEXMATCH(UPPER(P252),""PBS""),""PBS"",IF(REGEXMATCH(UPPER(P252),""TRIS""),""Tris"",IF(REGEXMATCH(UPPER(P252),""HEPES""),""H"&amp;"EPES"",IF(REGEXMATCH(UPPER(P252),""HISTIDINE""),""Histidine"",IF(REGEXMATCH(UPPER(P252),""SUCCINATE""),""Succinate"",IF(REGEXMATCH(UPPER(P252),""GLYCINE""),""Glycine"",P252)))))))))"),"Citrate")</f>
        <v>Citrate</v>
      </c>
      <c r="R26" s="16">
        <v>4</v>
      </c>
      <c r="S26" s="16">
        <v>25</v>
      </c>
      <c r="T26" s="19">
        <v>3</v>
      </c>
      <c r="U26" s="19">
        <v>10</v>
      </c>
      <c r="V26" s="21" t="s">
        <v>48</v>
      </c>
      <c r="W26" s="22" t="s">
        <v>124</v>
      </c>
      <c r="X26" s="19" t="s">
        <v>125</v>
      </c>
      <c r="Y26" s="19" t="s">
        <v>58</v>
      </c>
      <c r="Z26" s="19">
        <v>85</v>
      </c>
    </row>
    <row r="27" spans="1:26" ht="18" customHeight="1">
      <c r="A27">
        <f t="shared" si="0"/>
        <v>24</v>
      </c>
      <c r="E27" s="17" t="s">
        <v>50</v>
      </c>
      <c r="F27" s="18">
        <v>50</v>
      </c>
      <c r="G27" s="17" t="s">
        <v>51</v>
      </c>
      <c r="H27" s="18">
        <v>10</v>
      </c>
      <c r="I27" s="19" t="s">
        <v>52</v>
      </c>
      <c r="J27" s="17" t="s">
        <v>46</v>
      </c>
      <c r="K27" s="20">
        <v>46143</v>
      </c>
      <c r="L27" s="18">
        <v>10</v>
      </c>
      <c r="M27" s="18" t="s">
        <v>47</v>
      </c>
      <c r="N27" s="17"/>
      <c r="O27" s="18">
        <v>6</v>
      </c>
      <c r="P27" s="17" t="s">
        <v>71</v>
      </c>
      <c r="Q27" s="15" t="str">
        <f ca="1">IFERROR(__xludf.DUMMYFUNCTION("IF(P253="""","""",IF(REGEXMATCH(UPPER(P253),""CITRATE""),""Citrate"",IF(REGEXMATCH(UPPER(P253),""ACETATE""),""Sodium Acetate"",IF(REGEXMATCH(UPPER(P253),""PBS""),""PBS"",IF(REGEXMATCH(UPPER(P253),""TRIS""),""Tris"",IF(REGEXMATCH(UPPER(P253),""HEPES""),""H"&amp;"EPES"",IF(REGEXMATCH(UPPER(P253),""HISTIDINE""),""Histidine"",IF(REGEXMATCH(UPPER(P253),""SUCCINATE""),""Succinate"",IF(REGEXMATCH(UPPER(P253),""GLYCINE""),""Glycine"",P253)))))))))"),"Citrate")</f>
        <v>Citrate</v>
      </c>
      <c r="R27" s="16">
        <v>4</v>
      </c>
      <c r="S27" s="16">
        <v>25</v>
      </c>
      <c r="T27" s="19">
        <v>3</v>
      </c>
      <c r="U27" s="19">
        <v>10</v>
      </c>
      <c r="V27" s="21" t="s">
        <v>48</v>
      </c>
      <c r="W27" s="22">
        <v>97</v>
      </c>
      <c r="X27" s="25" t="s">
        <v>57</v>
      </c>
      <c r="Y27" s="19" t="s">
        <v>126</v>
      </c>
      <c r="Z27" s="19">
        <v>84</v>
      </c>
    </row>
    <row r="28" spans="1:26" ht="18" customHeight="1">
      <c r="A28">
        <f t="shared" si="0"/>
        <v>25</v>
      </c>
      <c r="E28" s="17" t="s">
        <v>49</v>
      </c>
      <c r="F28" s="18">
        <v>50</v>
      </c>
      <c r="G28" s="17" t="s">
        <v>51</v>
      </c>
      <c r="H28" s="18">
        <v>10</v>
      </c>
      <c r="I28" s="19" t="s">
        <v>52</v>
      </c>
      <c r="J28" s="17" t="s">
        <v>46</v>
      </c>
      <c r="K28" s="20">
        <v>46143</v>
      </c>
      <c r="L28" s="18">
        <v>10</v>
      </c>
      <c r="M28" s="18" t="s">
        <v>47</v>
      </c>
      <c r="N28" s="17"/>
      <c r="O28" s="18">
        <v>6</v>
      </c>
      <c r="P28" s="17" t="s">
        <v>71</v>
      </c>
      <c r="Q28" s="15" t="str">
        <f ca="1">IFERROR(__xludf.DUMMYFUNCTION("IF(P254="""","""",IF(REGEXMATCH(UPPER(P254),""CITRATE""),""Citrate"",IF(REGEXMATCH(UPPER(P254),""ACETATE""),""Sodium Acetate"",IF(REGEXMATCH(UPPER(P254),""PBS""),""PBS"",IF(REGEXMATCH(UPPER(P254),""TRIS""),""Tris"",IF(REGEXMATCH(UPPER(P254),""HEPES""),""H"&amp;"EPES"",IF(REGEXMATCH(UPPER(P254),""HISTIDINE""),""Histidine"",IF(REGEXMATCH(UPPER(P254),""SUCCINATE""),""Succinate"",IF(REGEXMATCH(UPPER(P254),""GLYCINE""),""Glycine"",P254)))))))))"),"Citrate")</f>
        <v>Citrate</v>
      </c>
      <c r="R28" s="16">
        <v>4</v>
      </c>
      <c r="S28" s="16">
        <v>25</v>
      </c>
      <c r="T28" s="19">
        <v>6</v>
      </c>
      <c r="U28" s="19">
        <v>12</v>
      </c>
      <c r="V28" s="21" t="s">
        <v>48</v>
      </c>
      <c r="W28" s="22" t="s">
        <v>127</v>
      </c>
      <c r="X28" s="25" t="s">
        <v>128</v>
      </c>
      <c r="Y28" s="19" t="s">
        <v>62</v>
      </c>
      <c r="Z28" s="19">
        <v>86</v>
      </c>
    </row>
    <row r="29" spans="1:26" ht="18" customHeight="1">
      <c r="A29">
        <f t="shared" si="0"/>
        <v>26</v>
      </c>
      <c r="E29" s="17" t="s">
        <v>49</v>
      </c>
      <c r="F29" s="18">
        <v>50</v>
      </c>
      <c r="G29" s="17" t="s">
        <v>51</v>
      </c>
      <c r="H29" s="18">
        <v>10</v>
      </c>
      <c r="I29" s="19" t="s">
        <v>52</v>
      </c>
      <c r="J29" s="17" t="s">
        <v>46</v>
      </c>
      <c r="K29" s="20">
        <v>46143</v>
      </c>
      <c r="L29" s="18">
        <v>10</v>
      </c>
      <c r="M29" s="18" t="s">
        <v>47</v>
      </c>
      <c r="N29" s="17"/>
      <c r="O29" s="18">
        <v>6</v>
      </c>
      <c r="P29" s="17" t="s">
        <v>71</v>
      </c>
      <c r="Q29" s="15" t="str">
        <f ca="1">IFERROR(__xludf.DUMMYFUNCTION("IF(P255="""","""",IF(REGEXMATCH(UPPER(P255),""CITRATE""),""Citrate"",IF(REGEXMATCH(UPPER(P255),""ACETATE""),""Sodium Acetate"",IF(REGEXMATCH(UPPER(P255),""PBS""),""PBS"",IF(REGEXMATCH(UPPER(P255),""TRIS""),""Tris"",IF(REGEXMATCH(UPPER(P255),""HEPES""),""H"&amp;"EPES"",IF(REGEXMATCH(UPPER(P255),""HISTIDINE""),""Histidine"",IF(REGEXMATCH(UPPER(P255),""SUCCINATE""),""Succinate"",IF(REGEXMATCH(UPPER(P255),""GLYCINE""),""Glycine"",P255)))))))))"),"Citrate")</f>
        <v>Citrate</v>
      </c>
      <c r="R29" s="16">
        <v>4</v>
      </c>
      <c r="S29" s="16">
        <v>25</v>
      </c>
      <c r="T29" s="19">
        <v>6</v>
      </c>
      <c r="U29" s="19">
        <v>12</v>
      </c>
      <c r="V29" s="21" t="s">
        <v>48</v>
      </c>
      <c r="W29" s="26"/>
      <c r="X29" s="25" t="s">
        <v>129</v>
      </c>
      <c r="Y29" s="19" t="s">
        <v>83</v>
      </c>
      <c r="Z29" s="19">
        <v>78</v>
      </c>
    </row>
    <row r="30" spans="1:26" ht="18" customHeight="1">
      <c r="A30">
        <f t="shared" si="0"/>
        <v>27</v>
      </c>
      <c r="E30" s="17" t="s">
        <v>49</v>
      </c>
      <c r="F30" s="18">
        <v>50</v>
      </c>
      <c r="G30" s="17" t="s">
        <v>51</v>
      </c>
      <c r="H30" s="18">
        <v>10</v>
      </c>
      <c r="I30" s="19" t="s">
        <v>52</v>
      </c>
      <c r="J30" s="17" t="s">
        <v>46</v>
      </c>
      <c r="K30" s="20">
        <v>46143</v>
      </c>
      <c r="L30" s="18">
        <v>10</v>
      </c>
      <c r="M30" s="18" t="s">
        <v>47</v>
      </c>
      <c r="N30" s="17"/>
      <c r="O30" s="18">
        <v>6</v>
      </c>
      <c r="P30" s="17" t="s">
        <v>71</v>
      </c>
      <c r="Q30" s="15" t="str">
        <f ca="1">IFERROR(__xludf.DUMMYFUNCTION("IF(P256="""","""",IF(REGEXMATCH(UPPER(P256),""CITRATE""),""Citrate"",IF(REGEXMATCH(UPPER(P256),""ACETATE""),""Sodium Acetate"",IF(REGEXMATCH(UPPER(P256),""PBS""),""PBS"",IF(REGEXMATCH(UPPER(P256),""TRIS""),""Tris"",IF(REGEXMATCH(UPPER(P256),""HEPES""),""H"&amp;"EPES"",IF(REGEXMATCH(UPPER(P256),""HISTIDINE""),""Histidine"",IF(REGEXMATCH(UPPER(P256),""SUCCINATE""),""Succinate"",IF(REGEXMATCH(UPPER(P256),""GLYCINE""),""Glycine"",P256)))))))))"),"Citrate")</f>
        <v>Citrate</v>
      </c>
      <c r="R30" s="16">
        <v>4</v>
      </c>
      <c r="S30" s="16">
        <v>25</v>
      </c>
      <c r="T30" s="19">
        <v>6</v>
      </c>
      <c r="U30" s="19">
        <v>12</v>
      </c>
      <c r="V30" s="21" t="s">
        <v>48</v>
      </c>
      <c r="W30" s="22" t="s">
        <v>130</v>
      </c>
      <c r="X30" s="22" t="s">
        <v>131</v>
      </c>
      <c r="Y30" s="19" t="s">
        <v>132</v>
      </c>
      <c r="Z30" s="19">
        <v>92</v>
      </c>
    </row>
    <row r="31" spans="1:26" ht="18" customHeight="1">
      <c r="A31">
        <f t="shared" si="0"/>
        <v>28</v>
      </c>
      <c r="E31" s="17" t="s">
        <v>49</v>
      </c>
      <c r="F31" s="18">
        <v>50</v>
      </c>
      <c r="G31" s="17" t="s">
        <v>51</v>
      </c>
      <c r="H31" s="18">
        <v>10</v>
      </c>
      <c r="I31" s="19" t="s">
        <v>52</v>
      </c>
      <c r="J31" s="17" t="s">
        <v>46</v>
      </c>
      <c r="K31" s="20">
        <v>46143</v>
      </c>
      <c r="L31" s="18">
        <v>10</v>
      </c>
      <c r="M31" s="18" t="s">
        <v>47</v>
      </c>
      <c r="N31" s="17"/>
      <c r="O31" s="18">
        <v>6</v>
      </c>
      <c r="P31" s="17" t="s">
        <v>71</v>
      </c>
      <c r="Q31" s="15" t="str">
        <f ca="1">IFERROR(__xludf.DUMMYFUNCTION("IF(P257="""","""",IF(REGEXMATCH(UPPER(P257),""CITRATE""),""Citrate"",IF(REGEXMATCH(UPPER(P257),""ACETATE""),""Sodium Acetate"",IF(REGEXMATCH(UPPER(P257),""PBS""),""PBS"",IF(REGEXMATCH(UPPER(P257),""TRIS""),""Tris"",IF(REGEXMATCH(UPPER(P257),""HEPES""),""H"&amp;"EPES"",IF(REGEXMATCH(UPPER(P257),""HISTIDINE""),""Histidine"",IF(REGEXMATCH(UPPER(P257),""SUCCINATE""),""Succinate"",IF(REGEXMATCH(UPPER(P257),""GLYCINE""),""Glycine"",P257)))))))))"),"Citrate")</f>
        <v>Citrate</v>
      </c>
      <c r="R31" s="16">
        <v>4</v>
      </c>
      <c r="S31" s="16">
        <v>25</v>
      </c>
      <c r="T31" s="19">
        <v>6</v>
      </c>
      <c r="U31" s="19">
        <v>12</v>
      </c>
      <c r="V31" s="21" t="s">
        <v>48</v>
      </c>
      <c r="W31" s="22" t="s">
        <v>66</v>
      </c>
      <c r="X31" s="19" t="s">
        <v>133</v>
      </c>
      <c r="Y31" s="24">
        <v>46083</v>
      </c>
      <c r="Z31" s="19">
        <v>79</v>
      </c>
    </row>
    <row r="32" spans="1:26" ht="18" customHeight="1">
      <c r="A32">
        <f t="shared" si="0"/>
        <v>29</v>
      </c>
      <c r="E32" s="17" t="s">
        <v>49</v>
      </c>
      <c r="F32" s="18">
        <v>50</v>
      </c>
      <c r="G32" s="17" t="s">
        <v>51</v>
      </c>
      <c r="H32" s="18">
        <v>10</v>
      </c>
      <c r="I32" s="19" t="s">
        <v>52</v>
      </c>
      <c r="J32" s="17" t="s">
        <v>46</v>
      </c>
      <c r="K32" s="20">
        <v>46143</v>
      </c>
      <c r="L32" s="18">
        <v>10</v>
      </c>
      <c r="M32" s="18" t="s">
        <v>47</v>
      </c>
      <c r="N32" s="17"/>
      <c r="O32" s="18">
        <v>6</v>
      </c>
      <c r="P32" s="17" t="s">
        <v>71</v>
      </c>
      <c r="Q32" s="15" t="str">
        <f ca="1">IFERROR(__xludf.DUMMYFUNCTION("IF(P258="""","""",IF(REGEXMATCH(UPPER(P258),""CITRATE""),""Citrate"",IF(REGEXMATCH(UPPER(P258),""ACETATE""),""Sodium Acetate"",IF(REGEXMATCH(UPPER(P258),""PBS""),""PBS"",IF(REGEXMATCH(UPPER(P258),""TRIS""),""Tris"",IF(REGEXMATCH(UPPER(P258),""HEPES""),""H"&amp;"EPES"",IF(REGEXMATCH(UPPER(P258),""HISTIDINE""),""Histidine"",IF(REGEXMATCH(UPPER(P258),""SUCCINATE""),""Succinate"",IF(REGEXMATCH(UPPER(P258),""GLYCINE""),""Glycine"",P258)))))))))"),"Citrate")</f>
        <v>Citrate</v>
      </c>
      <c r="R32" s="16">
        <v>4</v>
      </c>
      <c r="S32" s="16">
        <v>25</v>
      </c>
      <c r="T32" s="19">
        <v>6</v>
      </c>
      <c r="U32" s="19">
        <v>12</v>
      </c>
      <c r="V32" s="21" t="s">
        <v>48</v>
      </c>
      <c r="W32" s="22" t="s">
        <v>134</v>
      </c>
      <c r="X32" s="19" t="s">
        <v>135</v>
      </c>
      <c r="Y32" s="19" t="s">
        <v>136</v>
      </c>
      <c r="Z32" s="19">
        <v>82</v>
      </c>
    </row>
    <row r="33" spans="1:26" ht="18" customHeight="1">
      <c r="A33">
        <f t="shared" si="0"/>
        <v>30</v>
      </c>
      <c r="E33" s="17" t="s">
        <v>49</v>
      </c>
      <c r="F33" s="18">
        <v>50</v>
      </c>
      <c r="G33" s="17" t="s">
        <v>51</v>
      </c>
      <c r="H33" s="18">
        <v>10</v>
      </c>
      <c r="I33" s="19" t="s">
        <v>52</v>
      </c>
      <c r="J33" s="17" t="s">
        <v>46</v>
      </c>
      <c r="K33" s="20">
        <v>46143</v>
      </c>
      <c r="L33" s="18">
        <v>10</v>
      </c>
      <c r="M33" s="18" t="s">
        <v>47</v>
      </c>
      <c r="N33" s="17"/>
      <c r="O33" s="18">
        <v>6</v>
      </c>
      <c r="P33" s="17" t="s">
        <v>71</v>
      </c>
      <c r="Q33" s="15" t="str">
        <f ca="1">IFERROR(__xludf.DUMMYFUNCTION("IF(P259="""","""",IF(REGEXMATCH(UPPER(P259),""CITRATE""),""Citrate"",IF(REGEXMATCH(UPPER(P259),""ACETATE""),""Sodium Acetate"",IF(REGEXMATCH(UPPER(P259),""PBS""),""PBS"",IF(REGEXMATCH(UPPER(P259),""TRIS""),""Tris"",IF(REGEXMATCH(UPPER(P259),""HEPES""),""H"&amp;"EPES"",IF(REGEXMATCH(UPPER(P259),""HISTIDINE""),""Histidine"",IF(REGEXMATCH(UPPER(P259),""SUCCINATE""),""Succinate"",IF(REGEXMATCH(UPPER(P259),""GLYCINE""),""Glycine"",P259)))))))))"),"Citrate")</f>
        <v>Citrate</v>
      </c>
      <c r="R33" s="16">
        <v>4</v>
      </c>
      <c r="S33" s="16">
        <v>25</v>
      </c>
      <c r="T33" s="19">
        <v>6</v>
      </c>
      <c r="U33" s="19">
        <v>12</v>
      </c>
      <c r="V33" s="21" t="s">
        <v>48</v>
      </c>
      <c r="W33" s="22" t="s">
        <v>56</v>
      </c>
      <c r="X33" s="19" t="s">
        <v>137</v>
      </c>
      <c r="Y33" s="19" t="s">
        <v>138</v>
      </c>
      <c r="Z33" s="19">
        <v>95</v>
      </c>
    </row>
    <row r="34" spans="1:26" ht="18" customHeight="1">
      <c r="A34">
        <f t="shared" si="0"/>
        <v>31</v>
      </c>
      <c r="E34" s="17" t="s">
        <v>49</v>
      </c>
      <c r="F34" s="18">
        <v>50</v>
      </c>
      <c r="G34" s="17" t="s">
        <v>51</v>
      </c>
      <c r="H34" s="18">
        <v>10</v>
      </c>
      <c r="I34" s="19" t="s">
        <v>52</v>
      </c>
      <c r="J34" s="17" t="s">
        <v>46</v>
      </c>
      <c r="K34" s="20">
        <v>46143</v>
      </c>
      <c r="L34" s="18">
        <v>10</v>
      </c>
      <c r="M34" s="18" t="s">
        <v>47</v>
      </c>
      <c r="N34" s="17"/>
      <c r="O34" s="18">
        <v>6</v>
      </c>
      <c r="P34" s="17" t="s">
        <v>71</v>
      </c>
      <c r="Q34" s="15" t="str">
        <f ca="1">IFERROR(__xludf.DUMMYFUNCTION("IF(P260="""","""",IF(REGEXMATCH(UPPER(P260),""CITRATE""),""Citrate"",IF(REGEXMATCH(UPPER(P260),""ACETATE""),""Sodium Acetate"",IF(REGEXMATCH(UPPER(P260),""PBS""),""PBS"",IF(REGEXMATCH(UPPER(P260),""TRIS""),""Tris"",IF(REGEXMATCH(UPPER(P260),""HEPES""),""H"&amp;"EPES"",IF(REGEXMATCH(UPPER(P260),""HISTIDINE""),""Histidine"",IF(REGEXMATCH(UPPER(P260),""SUCCINATE""),""Succinate"",IF(REGEXMATCH(UPPER(P260),""GLYCINE""),""Glycine"",P260)))))))))"),"Citrate")</f>
        <v>Citrate</v>
      </c>
      <c r="R34" s="16">
        <v>4</v>
      </c>
      <c r="S34" s="16">
        <v>25</v>
      </c>
      <c r="T34" s="19">
        <v>6</v>
      </c>
      <c r="U34" s="19">
        <v>12</v>
      </c>
      <c r="V34" s="21" t="s">
        <v>48</v>
      </c>
      <c r="W34" s="22" t="s">
        <v>139</v>
      </c>
      <c r="X34" s="23" t="s">
        <v>140</v>
      </c>
      <c r="Y34" s="24">
        <v>46083</v>
      </c>
      <c r="Z34" s="19">
        <v>92</v>
      </c>
    </row>
    <row r="35" spans="1:26" ht="18" customHeight="1">
      <c r="A35">
        <f t="shared" si="0"/>
        <v>32</v>
      </c>
      <c r="E35" s="17" t="s">
        <v>49</v>
      </c>
      <c r="F35" s="18">
        <v>50</v>
      </c>
      <c r="G35" s="17" t="s">
        <v>51</v>
      </c>
      <c r="H35" s="18">
        <v>10</v>
      </c>
      <c r="I35" s="19" t="s">
        <v>52</v>
      </c>
      <c r="J35" s="17" t="s">
        <v>46</v>
      </c>
      <c r="K35" s="20">
        <v>46143</v>
      </c>
      <c r="L35" s="18">
        <v>10</v>
      </c>
      <c r="M35" s="18" t="s">
        <v>47</v>
      </c>
      <c r="N35" s="17"/>
      <c r="O35" s="18">
        <v>6</v>
      </c>
      <c r="P35" s="17" t="s">
        <v>71</v>
      </c>
      <c r="Q35" s="15" t="str">
        <f ca="1">IFERROR(__xludf.DUMMYFUNCTION("IF(P261="""","""",IF(REGEXMATCH(UPPER(P261),""CITRATE""),""Citrate"",IF(REGEXMATCH(UPPER(P261),""ACETATE""),""Sodium Acetate"",IF(REGEXMATCH(UPPER(P261),""PBS""),""PBS"",IF(REGEXMATCH(UPPER(P261),""TRIS""),""Tris"",IF(REGEXMATCH(UPPER(P261),""HEPES""),""H"&amp;"EPES"",IF(REGEXMATCH(UPPER(P261),""HISTIDINE""),""Histidine"",IF(REGEXMATCH(UPPER(P261),""SUCCINATE""),""Succinate"",IF(REGEXMATCH(UPPER(P261),""GLYCINE""),""Glycine"",P261)))))))))"),"Citrate")</f>
        <v>Citrate</v>
      </c>
      <c r="R35" s="16">
        <v>4</v>
      </c>
      <c r="S35" s="16">
        <v>25</v>
      </c>
      <c r="T35" s="19">
        <v>6</v>
      </c>
      <c r="U35" s="19">
        <v>12</v>
      </c>
      <c r="V35" s="21" t="s">
        <v>48</v>
      </c>
      <c r="W35" s="22" t="s">
        <v>141</v>
      </c>
      <c r="X35" s="19" t="s">
        <v>142</v>
      </c>
      <c r="Y35" s="19" t="s">
        <v>59</v>
      </c>
      <c r="Z35" s="19">
        <v>84</v>
      </c>
    </row>
    <row r="36" spans="1:26" ht="18" customHeight="1">
      <c r="A36">
        <f t="shared" si="0"/>
        <v>33</v>
      </c>
      <c r="E36" s="17" t="s">
        <v>49</v>
      </c>
      <c r="F36" s="18">
        <v>50</v>
      </c>
      <c r="G36" s="17" t="s">
        <v>51</v>
      </c>
      <c r="H36" s="18">
        <v>10</v>
      </c>
      <c r="I36" s="19" t="s">
        <v>52</v>
      </c>
      <c r="J36" s="17" t="s">
        <v>46</v>
      </c>
      <c r="K36" s="20">
        <v>46143</v>
      </c>
      <c r="L36" s="18">
        <v>10</v>
      </c>
      <c r="M36" s="18" t="s">
        <v>47</v>
      </c>
      <c r="N36" s="17"/>
      <c r="O36" s="18">
        <v>6</v>
      </c>
      <c r="P36" s="17" t="s">
        <v>71</v>
      </c>
      <c r="Q36" s="15" t="str">
        <f ca="1">IFERROR(__xludf.DUMMYFUNCTION("IF(P262="""","""",IF(REGEXMATCH(UPPER(P262),""CITRATE""),""Citrate"",IF(REGEXMATCH(UPPER(P262),""ACETATE""),""Sodium Acetate"",IF(REGEXMATCH(UPPER(P262),""PBS""),""PBS"",IF(REGEXMATCH(UPPER(P262),""TRIS""),""Tris"",IF(REGEXMATCH(UPPER(P262),""HEPES""),""H"&amp;"EPES"",IF(REGEXMATCH(UPPER(P262),""HISTIDINE""),""Histidine"",IF(REGEXMATCH(UPPER(P262),""SUCCINATE""),""Succinate"",IF(REGEXMATCH(UPPER(P262),""GLYCINE""),""Glycine"",P262)))))))))"),"Citrate")</f>
        <v>Citrate</v>
      </c>
      <c r="R36" s="16">
        <v>4</v>
      </c>
      <c r="S36" s="16">
        <v>25</v>
      </c>
      <c r="T36" s="19">
        <v>6</v>
      </c>
      <c r="U36" s="19">
        <v>12</v>
      </c>
      <c r="V36" s="21" t="s">
        <v>48</v>
      </c>
      <c r="W36" s="22" t="s">
        <v>143</v>
      </c>
      <c r="X36" s="19" t="s">
        <v>144</v>
      </c>
      <c r="Y36" s="19" t="s">
        <v>145</v>
      </c>
      <c r="Z36" s="19">
        <v>87</v>
      </c>
    </row>
    <row r="37" spans="1:26" ht="18" customHeight="1">
      <c r="A37">
        <f t="shared" si="0"/>
        <v>34</v>
      </c>
      <c r="E37" s="17" t="s">
        <v>49</v>
      </c>
      <c r="F37" s="18">
        <v>50</v>
      </c>
      <c r="G37" s="17" t="s">
        <v>51</v>
      </c>
      <c r="H37" s="18">
        <v>10</v>
      </c>
      <c r="I37" s="19" t="s">
        <v>52</v>
      </c>
      <c r="J37" s="17" t="s">
        <v>46</v>
      </c>
      <c r="K37" s="20">
        <v>46143</v>
      </c>
      <c r="L37" s="18">
        <v>10</v>
      </c>
      <c r="M37" s="18" t="s">
        <v>47</v>
      </c>
      <c r="N37" s="17"/>
      <c r="O37" s="18">
        <v>6</v>
      </c>
      <c r="P37" s="17" t="s">
        <v>71</v>
      </c>
      <c r="Q37" s="15" t="str">
        <f ca="1">IFERROR(__xludf.DUMMYFUNCTION("IF(P263="""","""",IF(REGEXMATCH(UPPER(P263),""CITRATE""),""Citrate"",IF(REGEXMATCH(UPPER(P263),""ACETATE""),""Sodium Acetate"",IF(REGEXMATCH(UPPER(P263),""PBS""),""PBS"",IF(REGEXMATCH(UPPER(P263),""TRIS""),""Tris"",IF(REGEXMATCH(UPPER(P263),""HEPES""),""H"&amp;"EPES"",IF(REGEXMATCH(UPPER(P263),""HISTIDINE""),""Histidine"",IF(REGEXMATCH(UPPER(P263),""SUCCINATE""),""Succinate"",IF(REGEXMATCH(UPPER(P263),""GLYCINE""),""Glycine"",P263)))))))))"),"Citrate")</f>
        <v>Citrate</v>
      </c>
      <c r="R37" s="16">
        <v>4</v>
      </c>
      <c r="S37" s="16">
        <v>25</v>
      </c>
      <c r="T37" s="19">
        <v>6</v>
      </c>
      <c r="U37" s="19">
        <v>12</v>
      </c>
      <c r="V37" s="21" t="s">
        <v>48</v>
      </c>
      <c r="W37" s="22" t="s">
        <v>70</v>
      </c>
      <c r="X37" s="19" t="s">
        <v>146</v>
      </c>
      <c r="Y37" s="24">
        <v>46083</v>
      </c>
      <c r="Z37" s="19">
        <v>86</v>
      </c>
    </row>
    <row r="38" spans="1:26" ht="18" customHeight="1">
      <c r="A38">
        <f t="shared" si="0"/>
        <v>35</v>
      </c>
      <c r="E38" s="17" t="s">
        <v>49</v>
      </c>
      <c r="F38" s="18">
        <v>50</v>
      </c>
      <c r="G38" s="17" t="s">
        <v>51</v>
      </c>
      <c r="H38" s="18">
        <v>10</v>
      </c>
      <c r="I38" s="19" t="s">
        <v>52</v>
      </c>
      <c r="J38" s="17" t="s">
        <v>46</v>
      </c>
      <c r="K38" s="20">
        <v>46143</v>
      </c>
      <c r="L38" s="18">
        <v>10</v>
      </c>
      <c r="M38" s="18" t="s">
        <v>47</v>
      </c>
      <c r="N38" s="17"/>
      <c r="O38" s="18">
        <v>6</v>
      </c>
      <c r="P38" s="17" t="s">
        <v>71</v>
      </c>
      <c r="Q38" s="15" t="str">
        <f ca="1">IFERROR(__xludf.DUMMYFUNCTION("IF(P264="""","""",IF(REGEXMATCH(UPPER(P264),""CITRATE""),""Citrate"",IF(REGEXMATCH(UPPER(P264),""ACETATE""),""Sodium Acetate"",IF(REGEXMATCH(UPPER(P264),""PBS""),""PBS"",IF(REGEXMATCH(UPPER(P264),""TRIS""),""Tris"",IF(REGEXMATCH(UPPER(P264),""HEPES""),""H"&amp;"EPES"",IF(REGEXMATCH(UPPER(P264),""HISTIDINE""),""Histidine"",IF(REGEXMATCH(UPPER(P264),""SUCCINATE""),""Succinate"",IF(REGEXMATCH(UPPER(P264),""GLYCINE""),""Glycine"",P264)))))))))"),"Citrate")</f>
        <v>Citrate</v>
      </c>
      <c r="R38" s="16">
        <v>4</v>
      </c>
      <c r="S38" s="16">
        <v>25</v>
      </c>
      <c r="T38" s="19">
        <v>6</v>
      </c>
      <c r="U38" s="19">
        <v>12</v>
      </c>
      <c r="V38" s="21" t="s">
        <v>48</v>
      </c>
      <c r="W38" s="22" t="s">
        <v>60</v>
      </c>
      <c r="X38" s="19" t="s">
        <v>147</v>
      </c>
      <c r="Y38" s="19" t="s">
        <v>148</v>
      </c>
      <c r="Z38" s="19">
        <v>87</v>
      </c>
    </row>
    <row r="39" spans="1:26" ht="18" customHeight="1">
      <c r="A39">
        <f t="shared" si="0"/>
        <v>36</v>
      </c>
      <c r="E39" s="17" t="s">
        <v>49</v>
      </c>
      <c r="F39" s="18">
        <v>50</v>
      </c>
      <c r="G39" s="17" t="s">
        <v>51</v>
      </c>
      <c r="H39" s="18">
        <v>10</v>
      </c>
      <c r="I39" s="19" t="s">
        <v>52</v>
      </c>
      <c r="J39" s="17" t="s">
        <v>46</v>
      </c>
      <c r="K39" s="20">
        <v>46143</v>
      </c>
      <c r="L39" s="18">
        <v>10</v>
      </c>
      <c r="M39" s="18" t="s">
        <v>47</v>
      </c>
      <c r="N39" s="17"/>
      <c r="O39" s="18">
        <v>6</v>
      </c>
      <c r="P39" s="17" t="s">
        <v>71</v>
      </c>
      <c r="Q39" s="15" t="str">
        <f ca="1">IFERROR(__xludf.DUMMYFUNCTION("IF(P265="""","""",IF(REGEXMATCH(UPPER(P265),""CITRATE""),""Citrate"",IF(REGEXMATCH(UPPER(P265),""ACETATE""),""Sodium Acetate"",IF(REGEXMATCH(UPPER(P265),""PBS""),""PBS"",IF(REGEXMATCH(UPPER(P265),""TRIS""),""Tris"",IF(REGEXMATCH(UPPER(P265),""HEPES""),""H"&amp;"EPES"",IF(REGEXMATCH(UPPER(P265),""HISTIDINE""),""Histidine"",IF(REGEXMATCH(UPPER(P265),""SUCCINATE""),""Succinate"",IF(REGEXMATCH(UPPER(P265),""GLYCINE""),""Glycine"",P265)))))))))"),"Citrate")</f>
        <v>Citrate</v>
      </c>
      <c r="R39" s="16">
        <v>4</v>
      </c>
      <c r="S39" s="16">
        <v>25</v>
      </c>
      <c r="T39" s="19">
        <v>6</v>
      </c>
      <c r="U39" s="19">
        <v>12</v>
      </c>
      <c r="V39" s="21" t="s">
        <v>48</v>
      </c>
      <c r="W39" s="22" t="s">
        <v>149</v>
      </c>
      <c r="X39" s="19" t="s">
        <v>150</v>
      </c>
      <c r="Y39" s="19">
        <v>2</v>
      </c>
      <c r="Z39" s="19">
        <v>92</v>
      </c>
    </row>
    <row r="40" spans="1:26" ht="18" customHeight="1">
      <c r="A40">
        <f t="shared" si="0"/>
        <v>37</v>
      </c>
      <c r="E40" s="17" t="s">
        <v>50</v>
      </c>
      <c r="F40" s="18">
        <v>50</v>
      </c>
      <c r="G40" s="17" t="s">
        <v>51</v>
      </c>
      <c r="H40" s="18">
        <v>10</v>
      </c>
      <c r="I40" s="19" t="s">
        <v>52</v>
      </c>
      <c r="J40" s="17" t="s">
        <v>46</v>
      </c>
      <c r="K40" s="20">
        <v>46143</v>
      </c>
      <c r="L40" s="18">
        <v>10</v>
      </c>
      <c r="M40" s="18" t="s">
        <v>47</v>
      </c>
      <c r="N40" s="17"/>
      <c r="O40" s="18">
        <v>6</v>
      </c>
      <c r="P40" s="17" t="s">
        <v>71</v>
      </c>
      <c r="Q40" s="15" t="str">
        <f ca="1">IFERROR(__xludf.DUMMYFUNCTION("IF(P266="""","""",IF(REGEXMATCH(UPPER(P266),""CITRATE""),""Citrate"",IF(REGEXMATCH(UPPER(P266),""ACETATE""),""Sodium Acetate"",IF(REGEXMATCH(UPPER(P266),""PBS""),""PBS"",IF(REGEXMATCH(UPPER(P266),""TRIS""),""Tris"",IF(REGEXMATCH(UPPER(P266),""HEPES""),""H"&amp;"EPES"",IF(REGEXMATCH(UPPER(P266),""HISTIDINE""),""Histidine"",IF(REGEXMATCH(UPPER(P266),""SUCCINATE""),""Succinate"",IF(REGEXMATCH(UPPER(P266),""GLYCINE""),""Glycine"",P266)))))))))"),"Citrate")</f>
        <v>Citrate</v>
      </c>
      <c r="R40" s="16">
        <v>4</v>
      </c>
      <c r="S40" s="16">
        <v>25</v>
      </c>
      <c r="T40" s="19">
        <v>6</v>
      </c>
      <c r="U40" s="19">
        <v>12</v>
      </c>
      <c r="V40" s="21" t="s">
        <v>48</v>
      </c>
      <c r="W40" s="22" t="s">
        <v>151</v>
      </c>
      <c r="X40" s="19" t="s">
        <v>152</v>
      </c>
      <c r="Y40" s="19" t="s">
        <v>126</v>
      </c>
      <c r="Z40" s="19">
        <v>93</v>
      </c>
    </row>
    <row r="41" spans="1:26" ht="18" customHeight="1">
      <c r="A41">
        <f t="shared" si="0"/>
        <v>38</v>
      </c>
      <c r="E41" s="17" t="s">
        <v>50</v>
      </c>
      <c r="F41" s="18">
        <v>50</v>
      </c>
      <c r="G41" s="17" t="s">
        <v>51</v>
      </c>
      <c r="H41" s="18">
        <v>10</v>
      </c>
      <c r="I41" s="19" t="s">
        <v>52</v>
      </c>
      <c r="J41" s="17" t="s">
        <v>46</v>
      </c>
      <c r="K41" s="20">
        <v>46143</v>
      </c>
      <c r="L41" s="18">
        <v>10</v>
      </c>
      <c r="M41" s="18" t="s">
        <v>47</v>
      </c>
      <c r="N41" s="17"/>
      <c r="O41" s="18">
        <v>6</v>
      </c>
      <c r="P41" s="17" t="s">
        <v>71</v>
      </c>
      <c r="Q41" s="15" t="str">
        <f ca="1">IFERROR(__xludf.DUMMYFUNCTION("IF(P267="""","""",IF(REGEXMATCH(UPPER(P267),""CITRATE""),""Citrate"",IF(REGEXMATCH(UPPER(P267),""ACETATE""),""Sodium Acetate"",IF(REGEXMATCH(UPPER(P267),""PBS""),""PBS"",IF(REGEXMATCH(UPPER(P267),""TRIS""),""Tris"",IF(REGEXMATCH(UPPER(P267),""HEPES""),""H"&amp;"EPES"",IF(REGEXMATCH(UPPER(P267),""HISTIDINE""),""Histidine"",IF(REGEXMATCH(UPPER(P267),""SUCCINATE""),""Succinate"",IF(REGEXMATCH(UPPER(P267),""GLYCINE""),""Glycine"",P267)))))))))"),"Citrate")</f>
        <v>Citrate</v>
      </c>
      <c r="R41" s="16">
        <v>4</v>
      </c>
      <c r="S41" s="16">
        <v>25</v>
      </c>
      <c r="T41" s="19">
        <v>6</v>
      </c>
      <c r="U41" s="19">
        <v>12</v>
      </c>
      <c r="V41" s="21" t="s">
        <v>48</v>
      </c>
      <c r="W41" s="22" t="s">
        <v>153</v>
      </c>
      <c r="X41" s="22" t="s">
        <v>154</v>
      </c>
      <c r="Y41" s="19" t="s">
        <v>83</v>
      </c>
      <c r="Z41" s="19">
        <v>91</v>
      </c>
    </row>
    <row r="42" spans="1:26" ht="18" customHeight="1">
      <c r="A42">
        <f t="shared" si="0"/>
        <v>39</v>
      </c>
      <c r="E42" s="17" t="s">
        <v>50</v>
      </c>
      <c r="F42" s="18">
        <v>50</v>
      </c>
      <c r="G42" s="17" t="s">
        <v>51</v>
      </c>
      <c r="H42" s="18">
        <v>10</v>
      </c>
      <c r="I42" s="19" t="s">
        <v>52</v>
      </c>
      <c r="J42" s="17" t="s">
        <v>46</v>
      </c>
      <c r="K42" s="20">
        <v>46143</v>
      </c>
      <c r="L42" s="18">
        <v>10</v>
      </c>
      <c r="M42" s="18" t="s">
        <v>47</v>
      </c>
      <c r="N42" s="17"/>
      <c r="O42" s="18">
        <v>6</v>
      </c>
      <c r="P42" s="17" t="s">
        <v>71</v>
      </c>
      <c r="Q42" s="15" t="str">
        <f ca="1">IFERROR(__xludf.DUMMYFUNCTION("IF(P268="""","""",IF(REGEXMATCH(UPPER(P268),""CITRATE""),""Citrate"",IF(REGEXMATCH(UPPER(P268),""ACETATE""),""Sodium Acetate"",IF(REGEXMATCH(UPPER(P268),""PBS""),""PBS"",IF(REGEXMATCH(UPPER(P268),""TRIS""),""Tris"",IF(REGEXMATCH(UPPER(P268),""HEPES""),""H"&amp;"EPES"",IF(REGEXMATCH(UPPER(P268),""HISTIDINE""),""Histidine"",IF(REGEXMATCH(UPPER(P268),""SUCCINATE""),""Succinate"",IF(REGEXMATCH(UPPER(P268),""GLYCINE""),""Glycine"",P268)))))))))"),"Citrate")</f>
        <v>Citrate</v>
      </c>
      <c r="R42" s="16">
        <v>4</v>
      </c>
      <c r="S42" s="16">
        <v>25</v>
      </c>
      <c r="T42" s="19">
        <v>6</v>
      </c>
      <c r="U42" s="19">
        <v>12</v>
      </c>
      <c r="V42" s="21" t="s">
        <v>48</v>
      </c>
      <c r="W42" s="22" t="s">
        <v>63</v>
      </c>
      <c r="X42" s="19" t="s">
        <v>155</v>
      </c>
      <c r="Y42" s="19" t="s">
        <v>123</v>
      </c>
      <c r="Z42" s="19">
        <v>90</v>
      </c>
    </row>
    <row r="43" spans="1:26" ht="18" customHeight="1">
      <c r="A43">
        <f t="shared" si="0"/>
        <v>40</v>
      </c>
      <c r="E43" s="17" t="s">
        <v>50</v>
      </c>
      <c r="F43" s="18">
        <v>50</v>
      </c>
      <c r="G43" s="17" t="s">
        <v>51</v>
      </c>
      <c r="H43" s="18">
        <v>10</v>
      </c>
      <c r="I43" s="19" t="s">
        <v>52</v>
      </c>
      <c r="J43" s="17" t="s">
        <v>46</v>
      </c>
      <c r="K43" s="20">
        <v>46143</v>
      </c>
      <c r="L43" s="18">
        <v>10</v>
      </c>
      <c r="M43" s="18" t="s">
        <v>47</v>
      </c>
      <c r="N43" s="17"/>
      <c r="O43" s="18">
        <v>6</v>
      </c>
      <c r="P43" s="17" t="s">
        <v>71</v>
      </c>
      <c r="Q43" s="15" t="str">
        <f ca="1">IFERROR(__xludf.DUMMYFUNCTION("IF(P269="""","""",IF(REGEXMATCH(UPPER(P269),""CITRATE""),""Citrate"",IF(REGEXMATCH(UPPER(P269),""ACETATE""),""Sodium Acetate"",IF(REGEXMATCH(UPPER(P269),""PBS""),""PBS"",IF(REGEXMATCH(UPPER(P269),""TRIS""),""Tris"",IF(REGEXMATCH(UPPER(P269),""HEPES""),""H"&amp;"EPES"",IF(REGEXMATCH(UPPER(P269),""HISTIDINE""),""Histidine"",IF(REGEXMATCH(UPPER(P269),""SUCCINATE""),""Succinate"",IF(REGEXMATCH(UPPER(P269),""GLYCINE""),""Glycine"",P269)))))))))"),"Citrate")</f>
        <v>Citrate</v>
      </c>
      <c r="R43" s="16">
        <v>4</v>
      </c>
      <c r="S43" s="16">
        <v>25</v>
      </c>
      <c r="T43" s="19">
        <v>6</v>
      </c>
      <c r="U43" s="19">
        <v>12</v>
      </c>
      <c r="V43" s="21" t="s">
        <v>48</v>
      </c>
      <c r="W43" s="22" t="s">
        <v>68</v>
      </c>
      <c r="X43" s="19" t="s">
        <v>64</v>
      </c>
      <c r="Y43" s="24">
        <v>46145</v>
      </c>
      <c r="Z43" s="19">
        <v>87</v>
      </c>
    </row>
    <row r="44" spans="1:26" ht="18" customHeight="1">
      <c r="A44">
        <f t="shared" si="0"/>
        <v>41</v>
      </c>
      <c r="E44" s="17" t="s">
        <v>50</v>
      </c>
      <c r="F44" s="18">
        <v>50</v>
      </c>
      <c r="G44" s="17" t="s">
        <v>51</v>
      </c>
      <c r="H44" s="18">
        <v>10</v>
      </c>
      <c r="I44" s="19" t="s">
        <v>52</v>
      </c>
      <c r="J44" s="17" t="s">
        <v>46</v>
      </c>
      <c r="K44" s="20">
        <v>46143</v>
      </c>
      <c r="L44" s="18">
        <v>10</v>
      </c>
      <c r="M44" s="18" t="s">
        <v>47</v>
      </c>
      <c r="N44" s="17"/>
      <c r="O44" s="18">
        <v>6</v>
      </c>
      <c r="P44" s="17" t="s">
        <v>71</v>
      </c>
      <c r="Q44" s="15" t="str">
        <f ca="1">IFERROR(__xludf.DUMMYFUNCTION("IF(P270="""","""",IF(REGEXMATCH(UPPER(P270),""CITRATE""),""Citrate"",IF(REGEXMATCH(UPPER(P270),""ACETATE""),""Sodium Acetate"",IF(REGEXMATCH(UPPER(P270),""PBS""),""PBS"",IF(REGEXMATCH(UPPER(P270),""TRIS""),""Tris"",IF(REGEXMATCH(UPPER(P270),""HEPES""),""H"&amp;"EPES"",IF(REGEXMATCH(UPPER(P270),""HISTIDINE""),""Histidine"",IF(REGEXMATCH(UPPER(P270),""SUCCINATE""),""Succinate"",IF(REGEXMATCH(UPPER(P270),""GLYCINE""),""Glycine"",P270)))))))))"),"Citrate")</f>
        <v>Citrate</v>
      </c>
      <c r="R44" s="16">
        <v>4</v>
      </c>
      <c r="S44" s="16">
        <v>25</v>
      </c>
      <c r="T44" s="19">
        <v>6</v>
      </c>
      <c r="U44" s="19">
        <v>12</v>
      </c>
      <c r="V44" s="21" t="s">
        <v>48</v>
      </c>
      <c r="W44" s="22" t="s">
        <v>156</v>
      </c>
      <c r="X44" s="19" t="s">
        <v>157</v>
      </c>
      <c r="Y44" s="24">
        <v>46024</v>
      </c>
      <c r="Z44" s="19">
        <v>88</v>
      </c>
    </row>
    <row r="45" spans="1:26" ht="18" customHeight="1">
      <c r="A45">
        <f t="shared" si="0"/>
        <v>42</v>
      </c>
      <c r="E45" s="17" t="s">
        <v>50</v>
      </c>
      <c r="F45" s="18">
        <v>50</v>
      </c>
      <c r="G45" s="17" t="s">
        <v>51</v>
      </c>
      <c r="H45" s="18">
        <v>10</v>
      </c>
      <c r="I45" s="19" t="s">
        <v>52</v>
      </c>
      <c r="J45" s="17" t="s">
        <v>46</v>
      </c>
      <c r="K45" s="20">
        <v>46143</v>
      </c>
      <c r="L45" s="18">
        <v>10</v>
      </c>
      <c r="M45" s="18" t="s">
        <v>47</v>
      </c>
      <c r="N45" s="17"/>
      <c r="O45" s="18">
        <v>6</v>
      </c>
      <c r="P45" s="17" t="s">
        <v>71</v>
      </c>
      <c r="Q45" s="15" t="str">
        <f ca="1">IFERROR(__xludf.DUMMYFUNCTION("IF(P271="""","""",IF(REGEXMATCH(UPPER(P271),""CITRATE""),""Citrate"",IF(REGEXMATCH(UPPER(P271),""ACETATE""),""Sodium Acetate"",IF(REGEXMATCH(UPPER(P271),""PBS""),""PBS"",IF(REGEXMATCH(UPPER(P271),""TRIS""),""Tris"",IF(REGEXMATCH(UPPER(P271),""HEPES""),""H"&amp;"EPES"",IF(REGEXMATCH(UPPER(P271),""HISTIDINE""),""Histidine"",IF(REGEXMATCH(UPPER(P271),""SUCCINATE""),""Succinate"",IF(REGEXMATCH(UPPER(P271),""GLYCINE""),""Glycine"",P271)))))))))"),"Citrate")</f>
        <v>Citrate</v>
      </c>
      <c r="R45" s="16">
        <v>4</v>
      </c>
      <c r="S45" s="16">
        <v>25</v>
      </c>
      <c r="T45" s="19">
        <v>6</v>
      </c>
      <c r="U45" s="19">
        <v>12</v>
      </c>
      <c r="V45" s="21" t="s">
        <v>48</v>
      </c>
      <c r="W45" s="22">
        <v>70</v>
      </c>
      <c r="X45" s="19" t="s">
        <v>158</v>
      </c>
      <c r="Y45" s="19" t="s">
        <v>145</v>
      </c>
      <c r="Z45" s="19">
        <v>93</v>
      </c>
    </row>
    <row r="46" spans="1:26" ht="18" customHeight="1">
      <c r="A46">
        <f t="shared" si="0"/>
        <v>43</v>
      </c>
      <c r="E46" s="17" t="s">
        <v>50</v>
      </c>
      <c r="F46" s="18">
        <v>50</v>
      </c>
      <c r="G46" s="17" t="s">
        <v>51</v>
      </c>
      <c r="H46" s="18">
        <v>10</v>
      </c>
      <c r="I46" s="19" t="s">
        <v>52</v>
      </c>
      <c r="J46" s="17" t="s">
        <v>46</v>
      </c>
      <c r="K46" s="20">
        <v>46143</v>
      </c>
      <c r="L46" s="18">
        <v>10</v>
      </c>
      <c r="M46" s="18" t="s">
        <v>47</v>
      </c>
      <c r="N46" s="17"/>
      <c r="O46" s="18">
        <v>6</v>
      </c>
      <c r="P46" s="17" t="s">
        <v>71</v>
      </c>
      <c r="Q46" s="15" t="str">
        <f ca="1">IFERROR(__xludf.DUMMYFUNCTION("IF(P272="""","""",IF(REGEXMATCH(UPPER(P272),""CITRATE""),""Citrate"",IF(REGEXMATCH(UPPER(P272),""ACETATE""),""Sodium Acetate"",IF(REGEXMATCH(UPPER(P272),""PBS""),""PBS"",IF(REGEXMATCH(UPPER(P272),""TRIS""),""Tris"",IF(REGEXMATCH(UPPER(P272),""HEPES""),""H"&amp;"EPES"",IF(REGEXMATCH(UPPER(P272),""HISTIDINE""),""Histidine"",IF(REGEXMATCH(UPPER(P272),""SUCCINATE""),""Succinate"",IF(REGEXMATCH(UPPER(P272),""GLYCINE""),""Glycine"",P272)))))))))"),"Citrate")</f>
        <v>Citrate</v>
      </c>
      <c r="R46" s="16">
        <v>4</v>
      </c>
      <c r="S46" s="16">
        <v>25</v>
      </c>
      <c r="T46" s="19">
        <v>6</v>
      </c>
      <c r="U46" s="19">
        <v>12</v>
      </c>
      <c r="V46" s="21" t="s">
        <v>48</v>
      </c>
      <c r="W46" s="22" t="s">
        <v>159</v>
      </c>
      <c r="X46" s="19" t="s">
        <v>160</v>
      </c>
      <c r="Y46" s="24">
        <v>46083</v>
      </c>
      <c r="Z46" s="19">
        <v>79</v>
      </c>
    </row>
    <row r="47" spans="1:26" ht="18" customHeight="1">
      <c r="A47">
        <f t="shared" si="0"/>
        <v>44</v>
      </c>
      <c r="E47" s="17" t="s">
        <v>50</v>
      </c>
      <c r="F47" s="18">
        <v>50</v>
      </c>
      <c r="G47" s="17" t="s">
        <v>51</v>
      </c>
      <c r="H47" s="18">
        <v>10</v>
      </c>
      <c r="I47" s="19" t="s">
        <v>52</v>
      </c>
      <c r="J47" s="17" t="s">
        <v>46</v>
      </c>
      <c r="K47" s="20">
        <v>46143</v>
      </c>
      <c r="L47" s="18">
        <v>10</v>
      </c>
      <c r="M47" s="18" t="s">
        <v>47</v>
      </c>
      <c r="N47" s="17"/>
      <c r="O47" s="18">
        <v>6</v>
      </c>
      <c r="P47" s="17" t="s">
        <v>71</v>
      </c>
      <c r="Q47" s="15" t="str">
        <f ca="1">IFERROR(__xludf.DUMMYFUNCTION("IF(P273="""","""",IF(REGEXMATCH(UPPER(P273),""CITRATE""),""Citrate"",IF(REGEXMATCH(UPPER(P273),""ACETATE""),""Sodium Acetate"",IF(REGEXMATCH(UPPER(P273),""PBS""),""PBS"",IF(REGEXMATCH(UPPER(P273),""TRIS""),""Tris"",IF(REGEXMATCH(UPPER(P273),""HEPES""),""H"&amp;"EPES"",IF(REGEXMATCH(UPPER(P273),""HISTIDINE""),""Histidine"",IF(REGEXMATCH(UPPER(P273),""SUCCINATE""),""Succinate"",IF(REGEXMATCH(UPPER(P273),""GLYCINE""),""Glycine"",P273)))))))))"),"Citrate")</f>
        <v>Citrate</v>
      </c>
      <c r="R47" s="16">
        <v>4</v>
      </c>
      <c r="S47" s="16">
        <v>25</v>
      </c>
      <c r="T47" s="19">
        <v>6</v>
      </c>
      <c r="U47" s="19">
        <v>12</v>
      </c>
      <c r="V47" s="21" t="s">
        <v>48</v>
      </c>
      <c r="W47" s="22" t="s">
        <v>67</v>
      </c>
      <c r="X47" s="22" t="s">
        <v>161</v>
      </c>
      <c r="Y47" s="19" t="s">
        <v>97</v>
      </c>
      <c r="Z47" s="19">
        <v>77</v>
      </c>
    </row>
    <row r="48" spans="1:26" ht="18" customHeight="1">
      <c r="A48">
        <f t="shared" si="0"/>
        <v>45</v>
      </c>
      <c r="E48" s="17" t="s">
        <v>50</v>
      </c>
      <c r="F48" s="18">
        <v>50</v>
      </c>
      <c r="G48" s="17" t="s">
        <v>51</v>
      </c>
      <c r="H48" s="18">
        <v>10</v>
      </c>
      <c r="I48" s="19" t="s">
        <v>52</v>
      </c>
      <c r="J48" s="17" t="s">
        <v>46</v>
      </c>
      <c r="K48" s="20">
        <v>46143</v>
      </c>
      <c r="L48" s="18">
        <v>10</v>
      </c>
      <c r="M48" s="18" t="s">
        <v>47</v>
      </c>
      <c r="N48" s="17"/>
      <c r="O48" s="18">
        <v>6</v>
      </c>
      <c r="P48" s="17" t="s">
        <v>71</v>
      </c>
      <c r="Q48" s="15" t="str">
        <f ca="1">IFERROR(__xludf.DUMMYFUNCTION("IF(P274="""","""",IF(REGEXMATCH(UPPER(P274),""CITRATE""),""Citrate"",IF(REGEXMATCH(UPPER(P274),""ACETATE""),""Sodium Acetate"",IF(REGEXMATCH(UPPER(P274),""PBS""),""PBS"",IF(REGEXMATCH(UPPER(P274),""TRIS""),""Tris"",IF(REGEXMATCH(UPPER(P274),""HEPES""),""H"&amp;"EPES"",IF(REGEXMATCH(UPPER(P274),""HISTIDINE""),""Histidine"",IF(REGEXMATCH(UPPER(P274),""SUCCINATE""),""Succinate"",IF(REGEXMATCH(UPPER(P274),""GLYCINE""),""Glycine"",P274)))))))))"),"Citrate")</f>
        <v>Citrate</v>
      </c>
      <c r="R48" s="16">
        <v>4</v>
      </c>
      <c r="S48" s="16">
        <v>25</v>
      </c>
      <c r="T48" s="19">
        <v>6</v>
      </c>
      <c r="U48" s="19">
        <v>12</v>
      </c>
      <c r="V48" s="21" t="s">
        <v>48</v>
      </c>
      <c r="W48" s="22" t="s">
        <v>162</v>
      </c>
      <c r="X48" s="19" t="s">
        <v>163</v>
      </c>
      <c r="Y48" s="19" t="s">
        <v>83</v>
      </c>
      <c r="Z48" s="19">
        <v>82</v>
      </c>
    </row>
    <row r="49" spans="1:28" ht="18" customHeight="1">
      <c r="A49">
        <f t="shared" si="0"/>
        <v>46</v>
      </c>
      <c r="E49" s="17" t="s">
        <v>50</v>
      </c>
      <c r="F49" s="18">
        <v>50</v>
      </c>
      <c r="G49" s="17" t="s">
        <v>51</v>
      </c>
      <c r="H49" s="18">
        <v>10</v>
      </c>
      <c r="I49" s="19" t="s">
        <v>52</v>
      </c>
      <c r="J49" s="17" t="s">
        <v>46</v>
      </c>
      <c r="K49" s="20">
        <v>46143</v>
      </c>
      <c r="L49" s="18">
        <v>10</v>
      </c>
      <c r="M49" s="18" t="s">
        <v>47</v>
      </c>
      <c r="N49" s="17"/>
      <c r="O49" s="18">
        <v>6</v>
      </c>
      <c r="P49" s="17" t="s">
        <v>71</v>
      </c>
      <c r="Q49" s="15" t="str">
        <f ca="1">IFERROR(__xludf.DUMMYFUNCTION("IF(P275="""","""",IF(REGEXMATCH(UPPER(P275),""CITRATE""),""Citrate"",IF(REGEXMATCH(UPPER(P275),""ACETATE""),""Sodium Acetate"",IF(REGEXMATCH(UPPER(P275),""PBS""),""PBS"",IF(REGEXMATCH(UPPER(P275),""TRIS""),""Tris"",IF(REGEXMATCH(UPPER(P275),""HEPES""),""H"&amp;"EPES"",IF(REGEXMATCH(UPPER(P275),""HISTIDINE""),""Histidine"",IF(REGEXMATCH(UPPER(P275),""SUCCINATE""),""Succinate"",IF(REGEXMATCH(UPPER(P275),""GLYCINE""),""Glycine"",P275)))))))))"),"Citrate")</f>
        <v>Citrate</v>
      </c>
      <c r="R49" s="16">
        <v>4</v>
      </c>
      <c r="S49" s="16">
        <v>25</v>
      </c>
      <c r="T49" s="19">
        <v>6</v>
      </c>
      <c r="U49" s="19">
        <v>12</v>
      </c>
      <c r="V49" s="21" t="s">
        <v>48</v>
      </c>
      <c r="W49" s="22" t="s">
        <v>69</v>
      </c>
      <c r="X49" s="19" t="s">
        <v>164</v>
      </c>
      <c r="Y49" s="19" t="s">
        <v>54</v>
      </c>
      <c r="Z49" s="19">
        <v>96</v>
      </c>
    </row>
    <row r="50" spans="1:28" ht="18" customHeight="1">
      <c r="A50">
        <f t="shared" si="0"/>
        <v>47</v>
      </c>
      <c r="E50" s="17" t="s">
        <v>50</v>
      </c>
      <c r="F50" s="18">
        <v>50</v>
      </c>
      <c r="G50" s="17" t="s">
        <v>51</v>
      </c>
      <c r="H50" s="18">
        <v>10</v>
      </c>
      <c r="I50" s="19" t="s">
        <v>52</v>
      </c>
      <c r="J50" s="17" t="s">
        <v>46</v>
      </c>
      <c r="K50" s="20">
        <v>46143</v>
      </c>
      <c r="L50" s="18">
        <v>10</v>
      </c>
      <c r="M50" s="18" t="s">
        <v>47</v>
      </c>
      <c r="N50" s="17"/>
      <c r="O50" s="18">
        <v>6</v>
      </c>
      <c r="P50" s="17" t="s">
        <v>71</v>
      </c>
      <c r="Q50" s="15" t="str">
        <f ca="1">IFERROR(__xludf.DUMMYFUNCTION("IF(P276="""","""",IF(REGEXMATCH(UPPER(P276),""CITRATE""),""Citrate"",IF(REGEXMATCH(UPPER(P276),""ACETATE""),""Sodium Acetate"",IF(REGEXMATCH(UPPER(P276),""PBS""),""PBS"",IF(REGEXMATCH(UPPER(P276),""TRIS""),""Tris"",IF(REGEXMATCH(UPPER(P276),""HEPES""),""H"&amp;"EPES"",IF(REGEXMATCH(UPPER(P276),""HISTIDINE""),""Histidine"",IF(REGEXMATCH(UPPER(P276),""SUCCINATE""),""Succinate"",IF(REGEXMATCH(UPPER(P276),""GLYCINE""),""Glycine"",P276)))))))))"),"Citrate")</f>
        <v>Citrate</v>
      </c>
      <c r="R50" s="16">
        <v>4</v>
      </c>
      <c r="S50" s="16">
        <v>25</v>
      </c>
      <c r="T50" s="19">
        <v>6</v>
      </c>
      <c r="U50" s="19">
        <v>12</v>
      </c>
      <c r="V50" s="21" t="s">
        <v>48</v>
      </c>
      <c r="W50" s="22" t="s">
        <v>165</v>
      </c>
      <c r="X50" s="22" t="s">
        <v>166</v>
      </c>
      <c r="Y50" s="24">
        <v>46083</v>
      </c>
      <c r="Z50" s="19">
        <v>98</v>
      </c>
    </row>
    <row r="51" spans="1:28" ht="18" customHeight="1">
      <c r="A51">
        <f t="shared" si="0"/>
        <v>48</v>
      </c>
      <c r="E51" s="17" t="s">
        <v>50</v>
      </c>
      <c r="F51" s="18">
        <v>50</v>
      </c>
      <c r="G51" s="17" t="s">
        <v>51</v>
      </c>
      <c r="H51" s="18">
        <v>10</v>
      </c>
      <c r="I51" s="19" t="s">
        <v>52</v>
      </c>
      <c r="J51" s="17" t="s">
        <v>46</v>
      </c>
      <c r="K51" s="20">
        <v>46143</v>
      </c>
      <c r="L51" s="18">
        <v>10</v>
      </c>
      <c r="M51" s="18" t="s">
        <v>47</v>
      </c>
      <c r="N51" s="17"/>
      <c r="O51" s="18">
        <v>6</v>
      </c>
      <c r="P51" s="17" t="s">
        <v>71</v>
      </c>
      <c r="Q51" s="15" t="str">
        <f ca="1">IFERROR(__xludf.DUMMYFUNCTION("IF(P277="""","""",IF(REGEXMATCH(UPPER(P277),""CITRATE""),""Citrate"",IF(REGEXMATCH(UPPER(P277),""ACETATE""),""Sodium Acetate"",IF(REGEXMATCH(UPPER(P277),""PBS""),""PBS"",IF(REGEXMATCH(UPPER(P277),""TRIS""),""Tris"",IF(REGEXMATCH(UPPER(P277),""HEPES""),""H"&amp;"EPES"",IF(REGEXMATCH(UPPER(P277),""HISTIDINE""),""Histidine"",IF(REGEXMATCH(UPPER(P277),""SUCCINATE""),""Succinate"",IF(REGEXMATCH(UPPER(P277),""GLYCINE""),""Glycine"",P277)))))))))"),"Citrate")</f>
        <v>Citrate</v>
      </c>
      <c r="R51" s="16">
        <v>4</v>
      </c>
      <c r="S51" s="16">
        <v>25</v>
      </c>
      <c r="T51" s="19">
        <v>6</v>
      </c>
      <c r="U51" s="19">
        <v>12</v>
      </c>
      <c r="V51" s="21" t="s">
        <v>48</v>
      </c>
      <c r="W51" s="22" t="s">
        <v>167</v>
      </c>
      <c r="X51" s="19" t="s">
        <v>168</v>
      </c>
      <c r="Y51" s="19" t="s">
        <v>148</v>
      </c>
      <c r="Z51" s="19">
        <v>86</v>
      </c>
    </row>
    <row r="52" spans="1:28" ht="18" customHeight="1">
      <c r="A52">
        <f t="shared" si="0"/>
        <v>49</v>
      </c>
      <c r="B52" s="27"/>
      <c r="C52" s="27"/>
      <c r="D52" s="27"/>
      <c r="E52" s="28" t="s">
        <v>50</v>
      </c>
      <c r="F52" s="29">
        <v>50</v>
      </c>
      <c r="G52" s="28" t="s">
        <v>51</v>
      </c>
      <c r="H52" s="29">
        <v>10</v>
      </c>
      <c r="I52" s="30">
        <v>38.5</v>
      </c>
      <c r="J52" s="28" t="s">
        <v>46</v>
      </c>
      <c r="K52" s="29">
        <v>2.5</v>
      </c>
      <c r="L52" s="29">
        <v>10</v>
      </c>
      <c r="M52" s="29" t="s">
        <v>47</v>
      </c>
      <c r="N52" s="28"/>
      <c r="O52" s="29">
        <v>6</v>
      </c>
      <c r="P52" s="28" t="s">
        <v>71</v>
      </c>
      <c r="Q52" s="15" t="str">
        <f ca="1">IFERROR(__xludf.DUMMYFUNCTION("IF(P278="""","""",IF(REGEXMATCH(UPPER(P278),""CITRATE""),""Citrate"",IF(REGEXMATCH(UPPER(P278),""ACETATE""),""Sodium Acetate"",IF(REGEXMATCH(UPPER(P278),""PBS""),""PBS"",IF(REGEXMATCH(UPPER(P278),""TRIS""),""Tris"",IF(REGEXMATCH(UPPER(P278),""HEPES""),""H"&amp;"EPES"",IF(REGEXMATCH(UPPER(P278),""HISTIDINE""),""Histidine"",IF(REGEXMATCH(UPPER(P278),""SUCCINATE""),""Succinate"",IF(REGEXMATCH(UPPER(P278),""GLYCINE""),""Glycine"",P278)))))))))"),"Citrate")</f>
        <v>Citrate</v>
      </c>
      <c r="R52" s="16">
        <v>4</v>
      </c>
      <c r="S52" s="16">
        <v>25</v>
      </c>
      <c r="T52" s="31">
        <v>3</v>
      </c>
      <c r="U52" s="31">
        <v>10</v>
      </c>
      <c r="V52" s="21" t="s">
        <v>48</v>
      </c>
      <c r="W52" s="29">
        <v>98</v>
      </c>
      <c r="X52" s="32">
        <v>0.14000000000000001</v>
      </c>
      <c r="Y52" s="29">
        <v>-0.2</v>
      </c>
      <c r="Z52" s="29">
        <v>87</v>
      </c>
      <c r="AA52" s="27"/>
      <c r="AB52" s="27"/>
    </row>
    <row r="53" spans="1:28" ht="18" customHeight="1">
      <c r="A53">
        <f t="shared" si="0"/>
        <v>50</v>
      </c>
      <c r="E53" s="17" t="s">
        <v>50</v>
      </c>
      <c r="F53" s="18">
        <v>50</v>
      </c>
      <c r="G53" s="17" t="s">
        <v>51</v>
      </c>
      <c r="H53" s="18">
        <v>10</v>
      </c>
      <c r="I53" s="19">
        <v>38.5</v>
      </c>
      <c r="J53" s="17" t="s">
        <v>46</v>
      </c>
      <c r="K53" s="18">
        <v>2.5</v>
      </c>
      <c r="L53" s="18">
        <v>10</v>
      </c>
      <c r="M53" s="18" t="s">
        <v>47</v>
      </c>
      <c r="N53" s="17"/>
      <c r="O53" s="18">
        <v>6</v>
      </c>
      <c r="P53" s="17" t="s">
        <v>71</v>
      </c>
      <c r="Q53" s="15" t="str">
        <f ca="1">IFERROR(__xludf.DUMMYFUNCTION("IF(P279="""","""",IF(REGEXMATCH(UPPER(P279),""CITRATE""),""Citrate"",IF(REGEXMATCH(UPPER(P279),""ACETATE""),""Sodium Acetate"",IF(REGEXMATCH(UPPER(P279),""PBS""),""PBS"",IF(REGEXMATCH(UPPER(P279),""TRIS""),""Tris"",IF(REGEXMATCH(UPPER(P279),""HEPES""),""H"&amp;"EPES"",IF(REGEXMATCH(UPPER(P279),""HISTIDINE""),""Histidine"",IF(REGEXMATCH(UPPER(P279),""SUCCINATE""),""Succinate"",IF(REGEXMATCH(UPPER(P279),""GLYCINE""),""Glycine"",P279)))))))))"),"Citrate")</f>
        <v>Citrate</v>
      </c>
      <c r="R53" s="16">
        <v>4</v>
      </c>
      <c r="S53" s="16">
        <v>25</v>
      </c>
      <c r="T53" s="19">
        <v>3</v>
      </c>
      <c r="U53" s="19">
        <v>10</v>
      </c>
      <c r="V53" s="21" t="s">
        <v>48</v>
      </c>
      <c r="W53" s="18">
        <v>97.2</v>
      </c>
      <c r="X53" s="18">
        <v>0.17</v>
      </c>
      <c r="Y53" s="18">
        <v>-1</v>
      </c>
      <c r="Z53" s="18">
        <v>80</v>
      </c>
    </row>
    <row r="54" spans="1:28" ht="18" customHeight="1">
      <c r="A54" s="47">
        <v>51</v>
      </c>
      <c r="B54" s="47"/>
      <c r="C54" s="47"/>
      <c r="D54" s="47"/>
      <c r="E54" s="50" t="s">
        <v>50</v>
      </c>
      <c r="F54" s="51">
        <v>50</v>
      </c>
      <c r="G54" s="50" t="s">
        <v>51</v>
      </c>
      <c r="H54" s="51">
        <v>10</v>
      </c>
      <c r="I54" s="52">
        <v>38.5</v>
      </c>
      <c r="J54" s="50" t="s">
        <v>46</v>
      </c>
      <c r="K54" s="55">
        <v>2.5</v>
      </c>
      <c r="L54" s="51">
        <v>10</v>
      </c>
      <c r="M54" s="51" t="s">
        <v>47</v>
      </c>
      <c r="N54" s="50"/>
      <c r="O54" s="51">
        <v>6</v>
      </c>
      <c r="P54" s="50" t="s">
        <v>71</v>
      </c>
      <c r="Q54" s="48" t="s">
        <v>204</v>
      </c>
      <c r="R54" s="49">
        <v>4</v>
      </c>
      <c r="S54" s="49">
        <v>25</v>
      </c>
      <c r="T54" s="54">
        <v>3</v>
      </c>
      <c r="U54" s="54">
        <v>10</v>
      </c>
      <c r="V54" s="53" t="s">
        <v>48</v>
      </c>
      <c r="W54" s="56">
        <v>100.2</v>
      </c>
      <c r="X54" s="51">
        <v>0.14000000000000001</v>
      </c>
      <c r="Y54" s="51">
        <v>2.2999999999999998</v>
      </c>
      <c r="Z54" s="51">
        <v>79.2</v>
      </c>
    </row>
    <row r="55" spans="1:28" ht="18" customHeight="1">
      <c r="A55" s="47">
        <v>52</v>
      </c>
      <c r="B55" s="47"/>
      <c r="C55" s="47"/>
      <c r="D55" s="47"/>
      <c r="E55" s="50" t="s">
        <v>50</v>
      </c>
      <c r="F55" s="51">
        <v>50</v>
      </c>
      <c r="G55" s="50" t="s">
        <v>51</v>
      </c>
      <c r="H55" s="51">
        <v>10</v>
      </c>
      <c r="I55" s="52">
        <v>38.5</v>
      </c>
      <c r="J55" s="50" t="s">
        <v>46</v>
      </c>
      <c r="K55" s="51">
        <v>2.5</v>
      </c>
      <c r="L55" s="51">
        <v>10</v>
      </c>
      <c r="M55" s="51" t="s">
        <v>47</v>
      </c>
      <c r="N55" s="50"/>
      <c r="O55" s="51">
        <v>6</v>
      </c>
      <c r="P55" s="50" t="s">
        <v>71</v>
      </c>
      <c r="Q55" s="48" t="s">
        <v>204</v>
      </c>
      <c r="R55" s="49">
        <v>4</v>
      </c>
      <c r="S55" s="49">
        <v>25</v>
      </c>
      <c r="T55" s="52">
        <v>3</v>
      </c>
      <c r="U55" s="52">
        <v>10</v>
      </c>
      <c r="V55" s="53" t="s">
        <v>48</v>
      </c>
      <c r="W55" s="51">
        <v>99.2</v>
      </c>
      <c r="X55" s="57">
        <v>0.151</v>
      </c>
      <c r="Y55" s="51">
        <v>1.8</v>
      </c>
      <c r="Z55" s="51">
        <v>79</v>
      </c>
    </row>
    <row r="56" spans="1:28" ht="18" customHeight="1">
      <c r="A56" s="47">
        <v>53</v>
      </c>
      <c r="B56" s="47"/>
      <c r="C56" s="47"/>
      <c r="D56" s="47"/>
      <c r="E56" s="50" t="s">
        <v>50</v>
      </c>
      <c r="F56" s="51">
        <v>50</v>
      </c>
      <c r="G56" s="50" t="s">
        <v>51</v>
      </c>
      <c r="H56" s="51">
        <v>10</v>
      </c>
      <c r="I56" s="52">
        <v>38.5</v>
      </c>
      <c r="J56" s="50" t="s">
        <v>46</v>
      </c>
      <c r="K56" s="55">
        <v>2.5</v>
      </c>
      <c r="L56" s="51">
        <v>10</v>
      </c>
      <c r="M56" s="51" t="s">
        <v>47</v>
      </c>
      <c r="N56" s="50"/>
      <c r="O56" s="51">
        <v>6</v>
      </c>
      <c r="P56" s="50" t="s">
        <v>71</v>
      </c>
      <c r="Q56" s="48" t="s">
        <v>204</v>
      </c>
      <c r="R56" s="49">
        <v>4</v>
      </c>
      <c r="S56" s="49">
        <v>25</v>
      </c>
      <c r="T56" s="54">
        <v>3</v>
      </c>
      <c r="U56" s="54">
        <v>10</v>
      </c>
      <c r="V56" s="53" t="s">
        <v>48</v>
      </c>
      <c r="W56" s="56">
        <v>100.4</v>
      </c>
      <c r="X56" s="58">
        <v>0.09</v>
      </c>
      <c r="Y56" s="51">
        <v>2.4</v>
      </c>
      <c r="Z56" s="51">
        <v>80.400000000000006</v>
      </c>
    </row>
    <row r="57" spans="1:28" ht="18" customHeight="1">
      <c r="A57" s="47">
        <v>54</v>
      </c>
      <c r="B57" s="47"/>
      <c r="C57" s="47"/>
      <c r="D57" s="47"/>
      <c r="E57" s="50" t="s">
        <v>50</v>
      </c>
      <c r="F57" s="51">
        <v>50</v>
      </c>
      <c r="G57" s="50" t="s">
        <v>51</v>
      </c>
      <c r="H57" s="51">
        <v>10</v>
      </c>
      <c r="I57" s="52">
        <v>38.5</v>
      </c>
      <c r="J57" s="50" t="s">
        <v>46</v>
      </c>
      <c r="K57" s="51">
        <v>2.5</v>
      </c>
      <c r="L57" s="51">
        <v>10</v>
      </c>
      <c r="M57" s="51" t="s">
        <v>47</v>
      </c>
      <c r="N57" s="50"/>
      <c r="O57" s="51">
        <v>6</v>
      </c>
      <c r="P57" s="50" t="s">
        <v>71</v>
      </c>
      <c r="Q57" s="48" t="s">
        <v>204</v>
      </c>
      <c r="R57" s="49">
        <v>4</v>
      </c>
      <c r="S57" s="49">
        <v>25</v>
      </c>
      <c r="T57" s="52">
        <v>3</v>
      </c>
      <c r="U57" s="52">
        <v>10</v>
      </c>
      <c r="V57" s="53" t="s">
        <v>48</v>
      </c>
      <c r="W57" s="51">
        <v>94</v>
      </c>
      <c r="X57" s="51">
        <v>0.2223</v>
      </c>
      <c r="Y57" s="51">
        <v>-0.2</v>
      </c>
      <c r="Z57" s="51">
        <v>81.599999999999994</v>
      </c>
    </row>
    <row r="58" spans="1:28" ht="18" customHeight="1">
      <c r="A58" s="47">
        <v>55</v>
      </c>
      <c r="B58" s="47"/>
      <c r="C58" s="47"/>
      <c r="D58" s="47"/>
      <c r="E58" s="50" t="s">
        <v>50</v>
      </c>
      <c r="F58" s="51">
        <v>50</v>
      </c>
      <c r="G58" s="50" t="s">
        <v>51</v>
      </c>
      <c r="H58" s="51">
        <v>10</v>
      </c>
      <c r="I58" s="52">
        <v>38.5</v>
      </c>
      <c r="J58" s="50" t="s">
        <v>46</v>
      </c>
      <c r="K58" s="55">
        <v>2.5</v>
      </c>
      <c r="L58" s="51">
        <v>10</v>
      </c>
      <c r="M58" s="51" t="s">
        <v>47</v>
      </c>
      <c r="N58" s="50"/>
      <c r="O58" s="51">
        <v>6</v>
      </c>
      <c r="P58" s="50" t="s">
        <v>71</v>
      </c>
      <c r="Q58" s="48" t="s">
        <v>204</v>
      </c>
      <c r="R58" s="49">
        <v>4</v>
      </c>
      <c r="S58" s="49">
        <v>25</v>
      </c>
      <c r="T58" s="54">
        <v>3</v>
      </c>
      <c r="U58" s="54">
        <v>10</v>
      </c>
      <c r="V58" s="53" t="s">
        <v>48</v>
      </c>
      <c r="W58" s="51">
        <v>97.8</v>
      </c>
      <c r="X58" s="51">
        <v>0.20580000000000001</v>
      </c>
      <c r="Y58" s="51">
        <v>2.2999999999999998</v>
      </c>
      <c r="Z58" s="51">
        <v>80.400000000000006</v>
      </c>
    </row>
    <row r="59" spans="1:28" ht="18" customHeight="1">
      <c r="A59" s="47">
        <v>56</v>
      </c>
      <c r="B59" s="47"/>
      <c r="C59" s="47"/>
      <c r="D59" s="47"/>
      <c r="E59" s="50" t="s">
        <v>50</v>
      </c>
      <c r="F59" s="51">
        <v>50</v>
      </c>
      <c r="G59" s="50" t="s">
        <v>51</v>
      </c>
      <c r="H59" s="51">
        <v>10</v>
      </c>
      <c r="I59" s="52">
        <v>38.5</v>
      </c>
      <c r="J59" s="50" t="s">
        <v>46</v>
      </c>
      <c r="K59" s="51">
        <v>2.5</v>
      </c>
      <c r="L59" s="51">
        <v>10</v>
      </c>
      <c r="M59" s="51" t="s">
        <v>47</v>
      </c>
      <c r="N59" s="50"/>
      <c r="O59" s="51">
        <v>6</v>
      </c>
      <c r="P59" s="50" t="s">
        <v>71</v>
      </c>
      <c r="Q59" s="48" t="s">
        <v>204</v>
      </c>
      <c r="R59" s="49">
        <v>4</v>
      </c>
      <c r="S59" s="49">
        <v>25</v>
      </c>
      <c r="T59" s="52">
        <v>3</v>
      </c>
      <c r="U59" s="52">
        <v>10</v>
      </c>
      <c r="V59" s="53" t="s">
        <v>48</v>
      </c>
      <c r="W59" s="51">
        <v>103</v>
      </c>
      <c r="X59" s="58">
        <v>0.1394</v>
      </c>
      <c r="Y59" s="51">
        <v>0.8</v>
      </c>
      <c r="Z59" s="51">
        <v>85</v>
      </c>
    </row>
    <row r="60" spans="1:28" ht="18" customHeight="1">
      <c r="A60" s="47">
        <v>57</v>
      </c>
      <c r="B60" s="47"/>
      <c r="C60" s="47"/>
      <c r="D60" s="47"/>
      <c r="E60" s="50" t="s">
        <v>50</v>
      </c>
      <c r="F60" s="51">
        <v>50</v>
      </c>
      <c r="G60" s="50" t="s">
        <v>51</v>
      </c>
      <c r="H60" s="51">
        <v>10</v>
      </c>
      <c r="I60" s="52">
        <v>38.5</v>
      </c>
      <c r="J60" s="50" t="s">
        <v>46</v>
      </c>
      <c r="K60" s="55">
        <v>2.5</v>
      </c>
      <c r="L60" s="51">
        <v>10</v>
      </c>
      <c r="M60" s="51" t="s">
        <v>47</v>
      </c>
      <c r="N60" s="50"/>
      <c r="O60" s="51">
        <v>6</v>
      </c>
      <c r="P60" s="50" t="s">
        <v>71</v>
      </c>
      <c r="Q60" s="48" t="s">
        <v>204</v>
      </c>
      <c r="R60" s="49">
        <v>4</v>
      </c>
      <c r="S60" s="49">
        <v>25</v>
      </c>
      <c r="T60" s="54">
        <v>3</v>
      </c>
      <c r="U60" s="54">
        <v>10</v>
      </c>
      <c r="V60" s="53" t="s">
        <v>48</v>
      </c>
      <c r="W60" s="56">
        <v>100.3</v>
      </c>
      <c r="X60" s="51">
        <v>0.15489</v>
      </c>
      <c r="Y60" s="51">
        <v>0.14000000000000001</v>
      </c>
      <c r="Z60" s="51">
        <v>84.3</v>
      </c>
    </row>
    <row r="61" spans="1:28" ht="18" customHeight="1">
      <c r="A61" s="47">
        <v>58</v>
      </c>
      <c r="B61" s="47"/>
      <c r="C61" s="47"/>
      <c r="D61" s="47"/>
      <c r="E61" s="50" t="s">
        <v>50</v>
      </c>
      <c r="F61" s="51">
        <v>50</v>
      </c>
      <c r="G61" s="50" t="s">
        <v>51</v>
      </c>
      <c r="H61" s="51">
        <v>10</v>
      </c>
      <c r="I61" s="52">
        <v>38.5</v>
      </c>
      <c r="J61" s="50" t="s">
        <v>46</v>
      </c>
      <c r="K61" s="51">
        <v>2.5</v>
      </c>
      <c r="L61" s="51">
        <v>10</v>
      </c>
      <c r="M61" s="51" t="s">
        <v>47</v>
      </c>
      <c r="N61" s="50"/>
      <c r="O61" s="51">
        <v>6</v>
      </c>
      <c r="P61" s="50" t="s">
        <v>71</v>
      </c>
      <c r="Q61" s="48" t="s">
        <v>204</v>
      </c>
      <c r="R61" s="49">
        <v>4</v>
      </c>
      <c r="S61" s="49">
        <v>25</v>
      </c>
      <c r="T61" s="52">
        <v>3</v>
      </c>
      <c r="U61" s="52">
        <v>10</v>
      </c>
      <c r="V61" s="53" t="s">
        <v>48</v>
      </c>
      <c r="W61" s="56">
        <v>100.4</v>
      </c>
      <c r="X61" s="51">
        <v>0.09</v>
      </c>
      <c r="Y61" s="51">
        <v>-0.2</v>
      </c>
      <c r="Z61" s="51">
        <v>85.6</v>
      </c>
    </row>
    <row r="62" spans="1:28" ht="18" customHeight="1">
      <c r="A62" s="47">
        <v>59</v>
      </c>
      <c r="B62" s="47"/>
      <c r="C62" s="47"/>
      <c r="D62" s="47"/>
      <c r="E62" s="50" t="s">
        <v>50</v>
      </c>
      <c r="F62" s="51">
        <v>50</v>
      </c>
      <c r="G62" s="50" t="s">
        <v>51</v>
      </c>
      <c r="H62" s="51">
        <v>10</v>
      </c>
      <c r="I62" s="52">
        <v>38.5</v>
      </c>
      <c r="J62" s="50" t="s">
        <v>46</v>
      </c>
      <c r="K62" s="55">
        <v>2.5</v>
      </c>
      <c r="L62" s="51">
        <v>10</v>
      </c>
      <c r="M62" s="51" t="s">
        <v>47</v>
      </c>
      <c r="N62" s="50"/>
      <c r="O62" s="51">
        <v>6</v>
      </c>
      <c r="P62" s="50" t="s">
        <v>71</v>
      </c>
      <c r="Q62" s="48" t="s">
        <v>204</v>
      </c>
      <c r="R62" s="49">
        <v>4</v>
      </c>
      <c r="S62" s="49">
        <v>25</v>
      </c>
      <c r="T62" s="54">
        <v>3</v>
      </c>
      <c r="U62" s="54">
        <v>10</v>
      </c>
      <c r="V62" s="53" t="s">
        <v>48</v>
      </c>
      <c r="W62" s="51">
        <v>99</v>
      </c>
      <c r="X62" s="58">
        <v>0.1396</v>
      </c>
      <c r="Y62" s="51">
        <v>0.5</v>
      </c>
      <c r="Z62" s="51">
        <v>79.900000000000006</v>
      </c>
    </row>
    <row r="63" spans="1:28" ht="18" customHeight="1">
      <c r="A63" s="47">
        <v>60</v>
      </c>
      <c r="B63" s="47"/>
      <c r="C63" s="47"/>
      <c r="D63" s="47"/>
      <c r="E63" s="50" t="s">
        <v>50</v>
      </c>
      <c r="F63" s="51">
        <v>50</v>
      </c>
      <c r="G63" s="50" t="s">
        <v>51</v>
      </c>
      <c r="H63" s="51">
        <v>10</v>
      </c>
      <c r="I63" s="52">
        <v>38.5</v>
      </c>
      <c r="J63" s="50" t="s">
        <v>46</v>
      </c>
      <c r="K63" s="51">
        <v>2.5</v>
      </c>
      <c r="L63" s="51">
        <v>10</v>
      </c>
      <c r="M63" s="51" t="s">
        <v>47</v>
      </c>
      <c r="N63" s="50"/>
      <c r="O63" s="51">
        <v>6</v>
      </c>
      <c r="P63" s="50" t="s">
        <v>71</v>
      </c>
      <c r="Q63" s="48" t="s">
        <v>204</v>
      </c>
      <c r="R63" s="49">
        <v>4</v>
      </c>
      <c r="S63" s="49">
        <v>25</v>
      </c>
      <c r="T63" s="52">
        <v>3</v>
      </c>
      <c r="U63" s="52">
        <v>10</v>
      </c>
      <c r="V63" s="53" t="s">
        <v>48</v>
      </c>
      <c r="W63" s="51">
        <v>98.7</v>
      </c>
      <c r="X63" s="51">
        <v>0.15497</v>
      </c>
      <c r="Y63" s="51">
        <v>-1.2</v>
      </c>
      <c r="Z63" s="51">
        <v>80.5</v>
      </c>
    </row>
    <row r="64" spans="1:28" ht="18" customHeight="1">
      <c r="A64" s="47">
        <v>61</v>
      </c>
      <c r="B64" s="47"/>
      <c r="C64" s="47"/>
      <c r="D64" s="47"/>
      <c r="E64" s="50" t="s">
        <v>50</v>
      </c>
      <c r="F64" s="51">
        <v>50</v>
      </c>
      <c r="G64" s="50" t="s">
        <v>51</v>
      </c>
      <c r="H64" s="51">
        <v>10</v>
      </c>
      <c r="I64" s="52">
        <v>38.5</v>
      </c>
      <c r="J64" s="50" t="s">
        <v>46</v>
      </c>
      <c r="K64" s="55">
        <v>2.5</v>
      </c>
      <c r="L64" s="51">
        <v>10</v>
      </c>
      <c r="M64" s="51" t="s">
        <v>47</v>
      </c>
      <c r="N64" s="50"/>
      <c r="O64" s="51">
        <v>6</v>
      </c>
      <c r="P64" s="50" t="s">
        <v>71</v>
      </c>
      <c r="Q64" s="48" t="s">
        <v>204</v>
      </c>
      <c r="R64" s="49">
        <v>4</v>
      </c>
      <c r="S64" s="49">
        <v>25</v>
      </c>
      <c r="T64" s="54">
        <v>3</v>
      </c>
      <c r="U64" s="54">
        <v>10</v>
      </c>
      <c r="V64" s="53" t="s">
        <v>48</v>
      </c>
      <c r="W64" s="51">
        <v>100</v>
      </c>
      <c r="X64" s="51">
        <v>0.09</v>
      </c>
      <c r="Y64" s="51">
        <v>-2.6</v>
      </c>
      <c r="Z64" s="51">
        <v>80.400000000000006</v>
      </c>
    </row>
    <row r="65" spans="1:26" ht="18" customHeight="1">
      <c r="A65" s="47">
        <v>62</v>
      </c>
      <c r="B65" s="47"/>
      <c r="C65" s="47"/>
      <c r="D65" s="47"/>
      <c r="E65" s="50" t="s">
        <v>50</v>
      </c>
      <c r="F65" s="51">
        <v>50</v>
      </c>
      <c r="G65" s="50" t="s">
        <v>51</v>
      </c>
      <c r="H65" s="51">
        <v>10</v>
      </c>
      <c r="I65" s="52">
        <v>38.5</v>
      </c>
      <c r="J65" s="50" t="s">
        <v>46</v>
      </c>
      <c r="K65" s="51">
        <v>2.5</v>
      </c>
      <c r="L65" s="51">
        <v>10</v>
      </c>
      <c r="M65" s="51" t="s">
        <v>47</v>
      </c>
      <c r="N65" s="50"/>
      <c r="O65" s="51">
        <v>6</v>
      </c>
      <c r="P65" s="50" t="s">
        <v>71</v>
      </c>
      <c r="Q65" s="48" t="s">
        <v>204</v>
      </c>
      <c r="R65" s="49">
        <v>4</v>
      </c>
      <c r="S65" s="49">
        <v>25</v>
      </c>
      <c r="T65" s="52">
        <v>3</v>
      </c>
      <c r="U65" s="52">
        <v>10</v>
      </c>
      <c r="V65" s="53" t="s">
        <v>48</v>
      </c>
      <c r="W65" s="51">
        <v>102.3</v>
      </c>
      <c r="X65" s="51">
        <v>0.158</v>
      </c>
      <c r="Y65" s="51">
        <v>1.8</v>
      </c>
      <c r="Z65" s="51">
        <v>81</v>
      </c>
    </row>
    <row r="66" spans="1:26" ht="18" customHeight="1">
      <c r="A66" s="47">
        <v>63</v>
      </c>
      <c r="B66" s="47"/>
      <c r="C66" s="47"/>
      <c r="D66" s="47"/>
      <c r="E66" s="50" t="s">
        <v>50</v>
      </c>
      <c r="F66" s="51">
        <v>50</v>
      </c>
      <c r="G66" s="50" t="s">
        <v>51</v>
      </c>
      <c r="H66" s="51">
        <v>10</v>
      </c>
      <c r="I66" s="52">
        <v>38.5</v>
      </c>
      <c r="J66" s="50" t="s">
        <v>46</v>
      </c>
      <c r="K66" s="55">
        <v>2.5</v>
      </c>
      <c r="L66" s="51">
        <v>10</v>
      </c>
      <c r="M66" s="51" t="s">
        <v>47</v>
      </c>
      <c r="N66" s="50"/>
      <c r="O66" s="51">
        <v>6</v>
      </c>
      <c r="P66" s="50" t="s">
        <v>71</v>
      </c>
      <c r="Q66" s="48" t="s">
        <v>204</v>
      </c>
      <c r="R66" s="49">
        <v>4</v>
      </c>
      <c r="S66" s="49">
        <v>25</v>
      </c>
      <c r="T66" s="54">
        <v>3</v>
      </c>
      <c r="U66" s="54">
        <v>10</v>
      </c>
      <c r="V66" s="53" t="s">
        <v>48</v>
      </c>
      <c r="W66" s="51">
        <v>104.2</v>
      </c>
      <c r="X66" s="51">
        <v>0.14000000000000001</v>
      </c>
      <c r="Y66" s="51">
        <v>-0.7</v>
      </c>
      <c r="Z66" s="51">
        <v>80.3</v>
      </c>
    </row>
    <row r="67" spans="1:26" ht="18" customHeight="1">
      <c r="A67" s="47">
        <v>64</v>
      </c>
      <c r="B67" s="47"/>
      <c r="C67" s="47"/>
      <c r="D67" s="47"/>
      <c r="E67" s="50" t="s">
        <v>50</v>
      </c>
      <c r="F67" s="51">
        <v>50</v>
      </c>
      <c r="G67" s="50" t="s">
        <v>51</v>
      </c>
      <c r="H67" s="51">
        <v>10</v>
      </c>
      <c r="I67" s="52">
        <v>38.5</v>
      </c>
      <c r="J67" s="50" t="s">
        <v>46</v>
      </c>
      <c r="K67" s="51">
        <v>2.5</v>
      </c>
      <c r="L67" s="51">
        <v>10</v>
      </c>
      <c r="M67" s="51" t="s">
        <v>47</v>
      </c>
      <c r="N67" s="50"/>
      <c r="O67" s="51">
        <v>6</v>
      </c>
      <c r="P67" s="50" t="s">
        <v>71</v>
      </c>
      <c r="Q67" s="48" t="s">
        <v>204</v>
      </c>
      <c r="R67" s="49">
        <v>4</v>
      </c>
      <c r="S67" s="49">
        <v>25</v>
      </c>
      <c r="T67" s="52">
        <v>3</v>
      </c>
      <c r="U67" s="52">
        <v>10</v>
      </c>
      <c r="V67" s="53" t="s">
        <v>48</v>
      </c>
      <c r="W67" s="51">
        <v>99.9</v>
      </c>
      <c r="X67" s="51">
        <v>0.2</v>
      </c>
      <c r="Y67" s="51">
        <v>1.6</v>
      </c>
      <c r="Z67" s="51">
        <v>81.7</v>
      </c>
    </row>
    <row r="68" spans="1:26" ht="15.75" customHeight="1">
      <c r="A68" s="47">
        <v>65</v>
      </c>
      <c r="B68" s="47"/>
      <c r="C68" s="47"/>
      <c r="D68" s="47"/>
      <c r="E68" s="50" t="s">
        <v>50</v>
      </c>
      <c r="F68" s="51">
        <v>50</v>
      </c>
      <c r="G68" s="50" t="s">
        <v>51</v>
      </c>
      <c r="H68" s="51">
        <v>10</v>
      </c>
      <c r="I68" s="52">
        <v>38.5</v>
      </c>
      <c r="J68" s="50" t="s">
        <v>46</v>
      </c>
      <c r="K68" s="55">
        <v>2.5</v>
      </c>
      <c r="L68" s="51">
        <v>10</v>
      </c>
      <c r="M68" s="51" t="s">
        <v>47</v>
      </c>
      <c r="N68" s="50"/>
      <c r="O68" s="51">
        <v>6</v>
      </c>
      <c r="P68" s="50" t="s">
        <v>71</v>
      </c>
      <c r="Q68" s="48" t="s">
        <v>204</v>
      </c>
      <c r="R68" s="49">
        <v>4</v>
      </c>
      <c r="S68" s="49">
        <v>25</v>
      </c>
      <c r="T68" s="54">
        <v>3</v>
      </c>
      <c r="U68" s="54">
        <v>10</v>
      </c>
      <c r="V68" s="53" t="s">
        <v>48</v>
      </c>
      <c r="W68" s="51">
        <v>103</v>
      </c>
      <c r="X68" s="58">
        <v>0.15</v>
      </c>
      <c r="Y68" s="51">
        <v>0.7</v>
      </c>
      <c r="Z68" s="51">
        <v>79.900000000000006</v>
      </c>
    </row>
    <row r="69" spans="1:26" ht="15.75" customHeight="1">
      <c r="A69" s="47">
        <v>66</v>
      </c>
      <c r="B69" s="47"/>
      <c r="C69" s="47"/>
      <c r="D69" s="47"/>
      <c r="E69" s="59" t="s">
        <v>50</v>
      </c>
      <c r="F69" s="55">
        <v>50</v>
      </c>
      <c r="G69" s="59" t="s">
        <v>51</v>
      </c>
      <c r="H69" s="55">
        <v>10</v>
      </c>
      <c r="I69" s="54">
        <v>38.5</v>
      </c>
      <c r="J69" s="59" t="s">
        <v>46</v>
      </c>
      <c r="K69" s="55">
        <v>2.5</v>
      </c>
      <c r="L69" s="51">
        <v>10</v>
      </c>
      <c r="M69" s="51" t="s">
        <v>47</v>
      </c>
      <c r="N69" s="59"/>
      <c r="O69" s="51">
        <v>6</v>
      </c>
      <c r="P69" s="50" t="s">
        <v>71</v>
      </c>
      <c r="Q69" s="48" t="s">
        <v>204</v>
      </c>
      <c r="R69" s="49">
        <v>4</v>
      </c>
      <c r="S69" s="49">
        <v>25</v>
      </c>
      <c r="T69" s="54">
        <v>3</v>
      </c>
      <c r="U69" s="54">
        <v>10</v>
      </c>
      <c r="V69" s="53" t="s">
        <v>48</v>
      </c>
      <c r="W69" s="57">
        <v>96.5</v>
      </c>
      <c r="X69" s="55">
        <v>0.1</v>
      </c>
      <c r="Y69" s="55">
        <v>-2</v>
      </c>
      <c r="Z69" s="55">
        <v>80</v>
      </c>
    </row>
    <row r="70" spans="1:26" ht="15.75" customHeight="1">
      <c r="A70" s="47">
        <v>67</v>
      </c>
      <c r="B70" s="47"/>
      <c r="C70" s="47"/>
      <c r="D70" s="47"/>
      <c r="E70" s="50" t="s">
        <v>50</v>
      </c>
      <c r="F70" s="51">
        <v>50</v>
      </c>
      <c r="G70" s="50" t="s">
        <v>51</v>
      </c>
      <c r="H70" s="51">
        <v>10</v>
      </c>
      <c r="I70" s="52">
        <v>38.5</v>
      </c>
      <c r="J70" s="50" t="s">
        <v>46</v>
      </c>
      <c r="K70" s="51">
        <v>2.5</v>
      </c>
      <c r="L70" s="51">
        <v>10</v>
      </c>
      <c r="M70" s="51" t="s">
        <v>47</v>
      </c>
      <c r="N70" s="50"/>
      <c r="O70" s="51">
        <v>6</v>
      </c>
      <c r="P70" s="50" t="s">
        <v>71</v>
      </c>
      <c r="Q70" s="48" t="s">
        <v>204</v>
      </c>
      <c r="R70" s="49">
        <v>4</v>
      </c>
      <c r="S70" s="49">
        <v>25</v>
      </c>
      <c r="T70" s="52">
        <v>3</v>
      </c>
      <c r="U70" s="52">
        <v>10</v>
      </c>
      <c r="V70" s="53" t="s">
        <v>48</v>
      </c>
      <c r="W70" s="57">
        <v>96.8</v>
      </c>
      <c r="X70" s="51">
        <v>0.16</v>
      </c>
      <c r="Y70" s="51">
        <v>3.2</v>
      </c>
      <c r="Z70" s="51">
        <v>93</v>
      </c>
    </row>
    <row r="71" spans="1:26" ht="15.75" customHeight="1">
      <c r="A71" s="47">
        <v>68</v>
      </c>
      <c r="B71" s="47"/>
      <c r="C71" s="47"/>
      <c r="D71" s="47"/>
      <c r="E71" s="50" t="s">
        <v>50</v>
      </c>
      <c r="F71" s="51">
        <v>50</v>
      </c>
      <c r="G71" s="50" t="s">
        <v>51</v>
      </c>
      <c r="H71" s="51">
        <v>10</v>
      </c>
      <c r="I71" s="52">
        <v>38.5</v>
      </c>
      <c r="J71" s="50" t="s">
        <v>46</v>
      </c>
      <c r="K71" s="51">
        <v>2.5</v>
      </c>
      <c r="L71" s="51">
        <v>10</v>
      </c>
      <c r="M71" s="51" t="s">
        <v>47</v>
      </c>
      <c r="N71" s="50"/>
      <c r="O71" s="51">
        <v>6</v>
      </c>
      <c r="P71" s="50" t="s">
        <v>71</v>
      </c>
      <c r="Q71" s="48" t="s">
        <v>204</v>
      </c>
      <c r="R71" s="49">
        <v>4</v>
      </c>
      <c r="S71" s="49">
        <v>25</v>
      </c>
      <c r="T71" s="54">
        <v>3</v>
      </c>
      <c r="U71" s="54">
        <v>10</v>
      </c>
      <c r="V71" s="53" t="s">
        <v>48</v>
      </c>
      <c r="W71" s="57">
        <v>100.2</v>
      </c>
      <c r="X71" s="51">
        <v>0.09</v>
      </c>
      <c r="Y71" s="51">
        <v>1.05</v>
      </c>
      <c r="Z71" s="51">
        <v>89</v>
      </c>
    </row>
    <row r="72" spans="1:26" ht="15.75" customHeight="1">
      <c r="A72" s="47">
        <v>69</v>
      </c>
      <c r="B72" s="47"/>
      <c r="C72" s="47"/>
      <c r="D72" s="47"/>
      <c r="E72" s="50" t="s">
        <v>50</v>
      </c>
      <c r="F72" s="51">
        <v>50</v>
      </c>
      <c r="G72" s="50" t="s">
        <v>51</v>
      </c>
      <c r="H72" s="51">
        <v>10</v>
      </c>
      <c r="I72" s="52">
        <v>38.5</v>
      </c>
      <c r="J72" s="50" t="s">
        <v>46</v>
      </c>
      <c r="K72" s="51">
        <v>2.5</v>
      </c>
      <c r="L72" s="51">
        <v>10</v>
      </c>
      <c r="M72" s="51" t="s">
        <v>47</v>
      </c>
      <c r="N72" s="50"/>
      <c r="O72" s="51">
        <v>6</v>
      </c>
      <c r="P72" s="50" t="s">
        <v>71</v>
      </c>
      <c r="Q72" s="48" t="s">
        <v>204</v>
      </c>
      <c r="R72" s="49">
        <v>4</v>
      </c>
      <c r="S72" s="49">
        <v>25</v>
      </c>
      <c r="T72" s="52">
        <v>3</v>
      </c>
      <c r="U72" s="52">
        <v>10</v>
      </c>
      <c r="V72" s="53" t="s">
        <v>48</v>
      </c>
      <c r="W72" s="57">
        <v>95.4</v>
      </c>
      <c r="X72" s="51">
        <v>0.2</v>
      </c>
      <c r="Y72" s="51">
        <v>-2</v>
      </c>
      <c r="Z72" s="51">
        <v>97</v>
      </c>
    </row>
    <row r="73" spans="1:26" ht="15.75" customHeight="1">
      <c r="A73" s="47">
        <v>70</v>
      </c>
      <c r="B73" s="47"/>
      <c r="C73" s="47"/>
      <c r="D73" s="47"/>
      <c r="E73" s="50" t="s">
        <v>50</v>
      </c>
      <c r="F73" s="51">
        <v>50</v>
      </c>
      <c r="G73" s="50" t="s">
        <v>51</v>
      </c>
      <c r="H73" s="51">
        <v>10</v>
      </c>
      <c r="I73" s="52">
        <v>38.5</v>
      </c>
      <c r="J73" s="50" t="s">
        <v>46</v>
      </c>
      <c r="K73" s="51">
        <v>2.5</v>
      </c>
      <c r="L73" s="51">
        <v>10</v>
      </c>
      <c r="M73" s="51" t="s">
        <v>47</v>
      </c>
      <c r="N73" s="50"/>
      <c r="O73" s="51">
        <v>6</v>
      </c>
      <c r="P73" s="50" t="s">
        <v>71</v>
      </c>
      <c r="Q73" s="48" t="s">
        <v>204</v>
      </c>
      <c r="R73" s="49">
        <v>4</v>
      </c>
      <c r="S73" s="49">
        <v>25</v>
      </c>
      <c r="T73" s="54">
        <v>3</v>
      </c>
      <c r="U73" s="54">
        <v>10</v>
      </c>
      <c r="V73" s="53" t="s">
        <v>48</v>
      </c>
      <c r="W73" s="57">
        <v>100.6</v>
      </c>
      <c r="X73" s="51">
        <v>0.17</v>
      </c>
      <c r="Y73" s="51">
        <v>-0.4</v>
      </c>
      <c r="Z73" s="51">
        <v>94</v>
      </c>
    </row>
    <row r="74" spans="1:26" ht="15.75" customHeight="1">
      <c r="A74" s="47">
        <v>71</v>
      </c>
      <c r="B74" s="47"/>
      <c r="C74" s="47"/>
      <c r="D74" s="47"/>
      <c r="E74" s="50" t="s">
        <v>50</v>
      </c>
      <c r="F74" s="51">
        <v>50</v>
      </c>
      <c r="G74" s="50" t="s">
        <v>51</v>
      </c>
      <c r="H74" s="51">
        <v>10</v>
      </c>
      <c r="I74" s="52">
        <v>38.5</v>
      </c>
      <c r="J74" s="50" t="s">
        <v>46</v>
      </c>
      <c r="K74" s="51">
        <v>2.5</v>
      </c>
      <c r="L74" s="51">
        <v>10</v>
      </c>
      <c r="M74" s="51" t="s">
        <v>47</v>
      </c>
      <c r="N74" s="50"/>
      <c r="O74" s="51">
        <v>6</v>
      </c>
      <c r="P74" s="50" t="s">
        <v>71</v>
      </c>
      <c r="Q74" s="48" t="s">
        <v>204</v>
      </c>
      <c r="R74" s="49">
        <v>4</v>
      </c>
      <c r="S74" s="49">
        <v>25</v>
      </c>
      <c r="T74" s="52">
        <v>3</v>
      </c>
      <c r="U74" s="52">
        <v>10</v>
      </c>
      <c r="V74" s="53" t="s">
        <v>48</v>
      </c>
      <c r="W74" s="57">
        <v>100.7</v>
      </c>
      <c r="X74" s="51">
        <v>0.18</v>
      </c>
      <c r="Y74" s="51">
        <v>-0.9</v>
      </c>
      <c r="Z74" s="51">
        <v>88</v>
      </c>
    </row>
    <row r="75" spans="1:26" ht="15.75" customHeight="1">
      <c r="A75" s="47">
        <v>72</v>
      </c>
      <c r="B75" s="47"/>
      <c r="C75" s="47"/>
      <c r="D75" s="47"/>
      <c r="E75" s="50" t="s">
        <v>50</v>
      </c>
      <c r="F75" s="51">
        <v>50</v>
      </c>
      <c r="G75" s="50" t="s">
        <v>51</v>
      </c>
      <c r="H75" s="51">
        <v>10</v>
      </c>
      <c r="I75" s="52">
        <v>38.5</v>
      </c>
      <c r="J75" s="50" t="s">
        <v>46</v>
      </c>
      <c r="K75" s="51">
        <v>2.5</v>
      </c>
      <c r="L75" s="51">
        <v>10</v>
      </c>
      <c r="M75" s="51" t="s">
        <v>47</v>
      </c>
      <c r="N75" s="50"/>
      <c r="O75" s="51">
        <v>6</v>
      </c>
      <c r="P75" s="50" t="s">
        <v>71</v>
      </c>
      <c r="Q75" s="48" t="s">
        <v>204</v>
      </c>
      <c r="R75" s="49">
        <v>4</v>
      </c>
      <c r="S75" s="49">
        <v>25</v>
      </c>
      <c r="T75" s="54">
        <v>3</v>
      </c>
      <c r="U75" s="54">
        <v>10</v>
      </c>
      <c r="V75" s="53" t="s">
        <v>48</v>
      </c>
      <c r="W75" s="57">
        <v>102.8</v>
      </c>
      <c r="X75" s="51">
        <v>7.0000000000000007E-2</v>
      </c>
      <c r="Y75" s="51">
        <v>2.1</v>
      </c>
      <c r="Z75" s="51">
        <v>89</v>
      </c>
    </row>
    <row r="76" spans="1:26" ht="15.75" customHeight="1">
      <c r="A76" s="47">
        <v>73</v>
      </c>
      <c r="B76" s="47"/>
      <c r="C76" s="47"/>
      <c r="D76" s="47"/>
      <c r="E76" s="50" t="s">
        <v>50</v>
      </c>
      <c r="F76" s="51">
        <v>50</v>
      </c>
      <c r="G76" s="50" t="s">
        <v>51</v>
      </c>
      <c r="H76" s="51">
        <v>10</v>
      </c>
      <c r="I76" s="52">
        <v>38.5</v>
      </c>
      <c r="J76" s="50" t="s">
        <v>46</v>
      </c>
      <c r="K76" s="51">
        <v>2.5</v>
      </c>
      <c r="L76" s="51">
        <v>10</v>
      </c>
      <c r="M76" s="51" t="s">
        <v>47</v>
      </c>
      <c r="N76" s="50"/>
      <c r="O76" s="51">
        <v>6</v>
      </c>
      <c r="P76" s="50" t="s">
        <v>71</v>
      </c>
      <c r="Q76" s="48" t="s">
        <v>204</v>
      </c>
      <c r="R76" s="49">
        <v>4</v>
      </c>
      <c r="S76" s="49">
        <v>25</v>
      </c>
      <c r="T76" s="52">
        <v>3</v>
      </c>
      <c r="U76" s="52">
        <v>10</v>
      </c>
      <c r="V76" s="53" t="s">
        <v>48</v>
      </c>
      <c r="W76" s="51">
        <v>99.5</v>
      </c>
      <c r="X76" s="51">
        <v>0.12</v>
      </c>
      <c r="Y76" s="51">
        <v>0.8</v>
      </c>
      <c r="Z76" s="51">
        <v>92</v>
      </c>
    </row>
    <row r="77" spans="1:26" ht="15.75" customHeight="1">
      <c r="A77" s="47">
        <v>74</v>
      </c>
      <c r="B77" s="47"/>
      <c r="C77" s="47"/>
      <c r="D77" s="47"/>
      <c r="E77" s="50" t="s">
        <v>50</v>
      </c>
      <c r="F77" s="51">
        <v>50</v>
      </c>
      <c r="G77" s="50" t="s">
        <v>51</v>
      </c>
      <c r="H77" s="51">
        <v>10</v>
      </c>
      <c r="I77" s="52">
        <v>38.5</v>
      </c>
      <c r="J77" s="50" t="s">
        <v>46</v>
      </c>
      <c r="K77" s="51">
        <v>2.5</v>
      </c>
      <c r="L77" s="51">
        <v>10</v>
      </c>
      <c r="M77" s="51" t="s">
        <v>47</v>
      </c>
      <c r="N77" s="50"/>
      <c r="O77" s="51">
        <v>6</v>
      </c>
      <c r="P77" s="50" t="s">
        <v>71</v>
      </c>
      <c r="Q77" s="48" t="s">
        <v>204</v>
      </c>
      <c r="R77" s="49">
        <v>4</v>
      </c>
      <c r="S77" s="49">
        <v>25</v>
      </c>
      <c r="T77" s="54">
        <v>6</v>
      </c>
      <c r="U77" s="54">
        <v>12</v>
      </c>
      <c r="V77" s="53" t="s">
        <v>48</v>
      </c>
      <c r="W77" s="51">
        <v>100.6</v>
      </c>
      <c r="X77" s="51">
        <v>0.18</v>
      </c>
      <c r="Y77" s="51">
        <v>0.3</v>
      </c>
      <c r="Z77" s="51">
        <v>94</v>
      </c>
    </row>
    <row r="78" spans="1:26" ht="15.75" customHeight="1">
      <c r="A78" s="47">
        <v>75</v>
      </c>
      <c r="B78" s="47"/>
      <c r="C78" s="47"/>
      <c r="D78" s="47"/>
      <c r="E78" s="50" t="s">
        <v>50</v>
      </c>
      <c r="F78" s="51">
        <v>50</v>
      </c>
      <c r="G78" s="50" t="s">
        <v>51</v>
      </c>
      <c r="H78" s="51">
        <v>10</v>
      </c>
      <c r="I78" s="52">
        <v>38.5</v>
      </c>
      <c r="J78" s="50" t="s">
        <v>46</v>
      </c>
      <c r="K78" s="51">
        <v>2.5</v>
      </c>
      <c r="L78" s="51">
        <v>10</v>
      </c>
      <c r="M78" s="51" t="s">
        <v>47</v>
      </c>
      <c r="N78" s="50"/>
      <c r="O78" s="51">
        <v>6</v>
      </c>
      <c r="P78" s="50" t="s">
        <v>71</v>
      </c>
      <c r="Q78" s="48" t="s">
        <v>204</v>
      </c>
      <c r="R78" s="49">
        <v>4</v>
      </c>
      <c r="S78" s="49">
        <v>25</v>
      </c>
      <c r="T78" s="52">
        <v>6</v>
      </c>
      <c r="U78" s="52">
        <v>12</v>
      </c>
      <c r="V78" s="53" t="s">
        <v>48</v>
      </c>
      <c r="W78" s="51">
        <v>100.5</v>
      </c>
      <c r="X78" s="51">
        <v>0.08</v>
      </c>
      <c r="Y78" s="51">
        <v>2.6</v>
      </c>
      <c r="Z78" s="51">
        <v>85</v>
      </c>
    </row>
    <row r="79" spans="1:26" ht="15.75" customHeight="1">
      <c r="A79" s="47">
        <v>76</v>
      </c>
      <c r="B79" s="47"/>
      <c r="C79" s="47"/>
      <c r="D79" s="47"/>
      <c r="E79" s="50" t="s">
        <v>50</v>
      </c>
      <c r="F79" s="51">
        <v>50</v>
      </c>
      <c r="G79" s="50" t="s">
        <v>51</v>
      </c>
      <c r="H79" s="51">
        <v>10</v>
      </c>
      <c r="I79" s="52">
        <v>38.5</v>
      </c>
      <c r="J79" s="50" t="s">
        <v>46</v>
      </c>
      <c r="K79" s="51">
        <v>2.5</v>
      </c>
      <c r="L79" s="51">
        <v>10</v>
      </c>
      <c r="M79" s="51" t="s">
        <v>47</v>
      </c>
      <c r="N79" s="50"/>
      <c r="O79" s="51">
        <v>6</v>
      </c>
      <c r="P79" s="50" t="s">
        <v>71</v>
      </c>
      <c r="Q79" s="48" t="s">
        <v>204</v>
      </c>
      <c r="R79" s="49">
        <v>4</v>
      </c>
      <c r="S79" s="49">
        <v>25</v>
      </c>
      <c r="T79" s="54">
        <v>6</v>
      </c>
      <c r="U79" s="54">
        <v>12</v>
      </c>
      <c r="V79" s="53" t="s">
        <v>48</v>
      </c>
      <c r="W79" s="57">
        <v>89</v>
      </c>
      <c r="X79" s="51">
        <v>0.16</v>
      </c>
      <c r="Y79" s="51">
        <v>1.4</v>
      </c>
      <c r="Z79" s="51">
        <v>86</v>
      </c>
    </row>
    <row r="80" spans="1:26" ht="15.75" customHeight="1">
      <c r="A80" s="47">
        <v>77</v>
      </c>
      <c r="B80" s="47"/>
      <c r="C80" s="47"/>
      <c r="D80" s="47"/>
      <c r="E80" s="50" t="s">
        <v>50</v>
      </c>
      <c r="F80" s="51">
        <v>50</v>
      </c>
      <c r="G80" s="50" t="s">
        <v>51</v>
      </c>
      <c r="H80" s="51">
        <v>10</v>
      </c>
      <c r="I80" s="52">
        <v>38.5</v>
      </c>
      <c r="J80" s="50" t="s">
        <v>46</v>
      </c>
      <c r="K80" s="51">
        <v>2.5</v>
      </c>
      <c r="L80" s="51">
        <v>10</v>
      </c>
      <c r="M80" s="51" t="s">
        <v>47</v>
      </c>
      <c r="N80" s="50"/>
      <c r="O80" s="51">
        <v>6</v>
      </c>
      <c r="P80" s="50" t="s">
        <v>71</v>
      </c>
      <c r="Q80" s="48" t="s">
        <v>204</v>
      </c>
      <c r="R80" s="49">
        <v>4</v>
      </c>
      <c r="S80" s="49">
        <v>25</v>
      </c>
      <c r="T80" s="52">
        <v>6</v>
      </c>
      <c r="U80" s="52">
        <v>12</v>
      </c>
      <c r="V80" s="53" t="s">
        <v>48</v>
      </c>
      <c r="W80" s="57">
        <v>79.8</v>
      </c>
      <c r="X80" s="60">
        <v>0.16</v>
      </c>
      <c r="Y80" s="51">
        <v>-1</v>
      </c>
      <c r="Z80" s="51">
        <v>82</v>
      </c>
    </row>
    <row r="81" spans="1:26" ht="15.75" customHeight="1">
      <c r="A81" s="47">
        <v>78</v>
      </c>
      <c r="B81" s="47"/>
      <c r="C81" s="47"/>
      <c r="D81" s="47"/>
      <c r="E81" s="50" t="s">
        <v>50</v>
      </c>
      <c r="F81" s="51">
        <v>50</v>
      </c>
      <c r="G81" s="50" t="s">
        <v>51</v>
      </c>
      <c r="H81" s="51">
        <v>10</v>
      </c>
      <c r="I81" s="52">
        <v>38.5</v>
      </c>
      <c r="J81" s="50" t="s">
        <v>46</v>
      </c>
      <c r="K81" s="51">
        <v>2.5</v>
      </c>
      <c r="L81" s="51">
        <v>10</v>
      </c>
      <c r="M81" s="51" t="s">
        <v>47</v>
      </c>
      <c r="N81" s="50"/>
      <c r="O81" s="51">
        <v>6</v>
      </c>
      <c r="P81" s="50" t="s">
        <v>71</v>
      </c>
      <c r="Q81" s="48" t="s">
        <v>204</v>
      </c>
      <c r="R81" s="49">
        <v>4</v>
      </c>
      <c r="S81" s="49">
        <v>25</v>
      </c>
      <c r="T81" s="54">
        <v>6</v>
      </c>
      <c r="U81" s="54">
        <v>12</v>
      </c>
      <c r="V81" s="53" t="s">
        <v>48</v>
      </c>
      <c r="W81" s="57">
        <v>91</v>
      </c>
      <c r="X81" s="60">
        <v>7.0000000000000007E-2</v>
      </c>
      <c r="Y81" s="51">
        <v>-0.5</v>
      </c>
      <c r="Z81" s="51">
        <v>78</v>
      </c>
    </row>
    <row r="82" spans="1:26" ht="15.75" customHeight="1">
      <c r="A82" s="47">
        <v>79</v>
      </c>
      <c r="B82" s="47"/>
      <c r="C82" s="47"/>
      <c r="D82" s="47"/>
      <c r="E82" s="50" t="s">
        <v>50</v>
      </c>
      <c r="F82" s="51">
        <v>50</v>
      </c>
      <c r="G82" s="50" t="s">
        <v>51</v>
      </c>
      <c r="H82" s="51">
        <v>10</v>
      </c>
      <c r="I82" s="52">
        <v>38.5</v>
      </c>
      <c r="J82" s="50" t="s">
        <v>46</v>
      </c>
      <c r="K82" s="51">
        <v>2.5</v>
      </c>
      <c r="L82" s="51">
        <v>10</v>
      </c>
      <c r="M82" s="51" t="s">
        <v>47</v>
      </c>
      <c r="N82" s="50"/>
      <c r="O82" s="51">
        <v>6</v>
      </c>
      <c r="P82" s="50" t="s">
        <v>71</v>
      </c>
      <c r="Q82" s="48" t="s">
        <v>204</v>
      </c>
      <c r="R82" s="49">
        <v>4</v>
      </c>
      <c r="S82" s="49">
        <v>25</v>
      </c>
      <c r="T82" s="52">
        <v>6</v>
      </c>
      <c r="U82" s="52">
        <v>12</v>
      </c>
      <c r="V82" s="53" t="s">
        <v>48</v>
      </c>
      <c r="W82" s="57">
        <v>80.2</v>
      </c>
      <c r="X82" s="60">
        <v>0.18</v>
      </c>
      <c r="Y82" s="51">
        <v>3.2</v>
      </c>
      <c r="Z82" s="51">
        <v>89</v>
      </c>
    </row>
    <row r="83" spans="1:26" ht="15.75" customHeight="1">
      <c r="A83" s="47">
        <v>80</v>
      </c>
      <c r="B83" s="47"/>
      <c r="C83" s="47"/>
      <c r="D83" s="47"/>
      <c r="E83" s="50" t="s">
        <v>50</v>
      </c>
      <c r="F83" s="51">
        <v>50</v>
      </c>
      <c r="G83" s="50" t="s">
        <v>51</v>
      </c>
      <c r="H83" s="51">
        <v>10</v>
      </c>
      <c r="I83" s="52">
        <v>38.5</v>
      </c>
      <c r="J83" s="50" t="s">
        <v>46</v>
      </c>
      <c r="K83" s="51">
        <v>2.5</v>
      </c>
      <c r="L83" s="51">
        <v>10</v>
      </c>
      <c r="M83" s="51" t="s">
        <v>47</v>
      </c>
      <c r="N83" s="50"/>
      <c r="O83" s="51">
        <v>6</v>
      </c>
      <c r="P83" s="50" t="s">
        <v>71</v>
      </c>
      <c r="Q83" s="48" t="s">
        <v>204</v>
      </c>
      <c r="R83" s="49">
        <v>4</v>
      </c>
      <c r="S83" s="49">
        <v>25</v>
      </c>
      <c r="T83" s="54">
        <v>6</v>
      </c>
      <c r="U83" s="54">
        <v>12</v>
      </c>
      <c r="V83" s="53" t="s">
        <v>48</v>
      </c>
      <c r="W83" s="57">
        <v>89.3</v>
      </c>
      <c r="X83" s="60">
        <v>0.12</v>
      </c>
      <c r="Y83" s="51">
        <v>-1.7</v>
      </c>
      <c r="Z83" s="51">
        <v>87</v>
      </c>
    </row>
    <row r="84" spans="1:26" ht="15.75" customHeight="1">
      <c r="A84" s="47">
        <v>81</v>
      </c>
      <c r="B84" s="47"/>
      <c r="C84" s="47"/>
      <c r="D84" s="47"/>
      <c r="E84" s="50" t="s">
        <v>50</v>
      </c>
      <c r="F84" s="51">
        <v>50</v>
      </c>
      <c r="G84" s="50" t="s">
        <v>51</v>
      </c>
      <c r="H84" s="51">
        <v>10</v>
      </c>
      <c r="I84" s="52">
        <v>38.5</v>
      </c>
      <c r="J84" s="50" t="s">
        <v>46</v>
      </c>
      <c r="K84" s="51">
        <v>2.5</v>
      </c>
      <c r="L84" s="51">
        <v>10</v>
      </c>
      <c r="M84" s="51" t="s">
        <v>47</v>
      </c>
      <c r="N84" s="50"/>
      <c r="O84" s="51">
        <v>6</v>
      </c>
      <c r="P84" s="50" t="s">
        <v>71</v>
      </c>
      <c r="Q84" s="48" t="s">
        <v>204</v>
      </c>
      <c r="R84" s="49">
        <v>4</v>
      </c>
      <c r="S84" s="49">
        <v>25</v>
      </c>
      <c r="T84" s="52">
        <v>6</v>
      </c>
      <c r="U84" s="52">
        <v>12</v>
      </c>
      <c r="V84" s="53" t="s">
        <v>48</v>
      </c>
      <c r="W84" s="57">
        <v>97</v>
      </c>
      <c r="X84" s="60">
        <v>0.17</v>
      </c>
      <c r="Y84" s="51">
        <v>0.1</v>
      </c>
      <c r="Z84" s="51">
        <v>82</v>
      </c>
    </row>
    <row r="85" spans="1:26" ht="15.75" customHeight="1">
      <c r="A85" s="47">
        <v>82</v>
      </c>
      <c r="B85" s="47"/>
      <c r="C85" s="47"/>
      <c r="D85" s="47"/>
      <c r="E85" s="50" t="s">
        <v>50</v>
      </c>
      <c r="F85" s="51">
        <v>50</v>
      </c>
      <c r="G85" s="50" t="s">
        <v>51</v>
      </c>
      <c r="H85" s="51">
        <v>10</v>
      </c>
      <c r="I85" s="52">
        <v>38.5</v>
      </c>
      <c r="J85" s="50" t="s">
        <v>46</v>
      </c>
      <c r="K85" s="51">
        <v>2.5</v>
      </c>
      <c r="L85" s="51">
        <v>10</v>
      </c>
      <c r="M85" s="51" t="s">
        <v>47</v>
      </c>
      <c r="N85" s="50"/>
      <c r="O85" s="51">
        <v>6</v>
      </c>
      <c r="P85" s="50" t="s">
        <v>71</v>
      </c>
      <c r="Q85" s="48" t="s">
        <v>204</v>
      </c>
      <c r="R85" s="49">
        <v>4</v>
      </c>
      <c r="S85" s="49">
        <v>25</v>
      </c>
      <c r="T85" s="54">
        <v>6</v>
      </c>
      <c r="U85" s="54">
        <v>12</v>
      </c>
      <c r="V85" s="53" t="s">
        <v>48</v>
      </c>
      <c r="W85" s="51">
        <v>89.89</v>
      </c>
      <c r="X85" s="60">
        <v>0.2</v>
      </c>
      <c r="Y85" s="51">
        <v>-0.9</v>
      </c>
      <c r="Z85" s="51">
        <v>84</v>
      </c>
    </row>
    <row r="86" spans="1:26" ht="15.75" customHeight="1">
      <c r="A86" s="47">
        <v>83</v>
      </c>
      <c r="B86" s="47"/>
      <c r="C86" s="47"/>
      <c r="D86" s="47"/>
      <c r="E86" s="50" t="s">
        <v>50</v>
      </c>
      <c r="F86" s="51">
        <v>50</v>
      </c>
      <c r="G86" s="50" t="s">
        <v>51</v>
      </c>
      <c r="H86" s="51">
        <v>10</v>
      </c>
      <c r="I86" s="52">
        <v>38.5</v>
      </c>
      <c r="J86" s="50" t="s">
        <v>46</v>
      </c>
      <c r="K86" s="51">
        <v>2.5</v>
      </c>
      <c r="L86" s="51">
        <v>10</v>
      </c>
      <c r="M86" s="51" t="s">
        <v>47</v>
      </c>
      <c r="N86" s="50"/>
      <c r="O86" s="51">
        <v>6</v>
      </c>
      <c r="P86" s="50" t="s">
        <v>71</v>
      </c>
      <c r="Q86" s="48" t="s">
        <v>204</v>
      </c>
      <c r="R86" s="49">
        <v>4</v>
      </c>
      <c r="S86" s="49">
        <v>25</v>
      </c>
      <c r="T86" s="52">
        <v>6</v>
      </c>
      <c r="U86" s="52">
        <v>12</v>
      </c>
      <c r="V86" s="53" t="s">
        <v>48</v>
      </c>
      <c r="W86" s="51">
        <v>91</v>
      </c>
      <c r="X86" s="60">
        <v>0.18</v>
      </c>
      <c r="Y86" s="51">
        <v>-2</v>
      </c>
      <c r="Z86" s="51">
        <v>88</v>
      </c>
    </row>
    <row r="87" spans="1:26" ht="15.75" customHeight="1">
      <c r="A87" s="47">
        <v>84</v>
      </c>
      <c r="B87" s="47"/>
      <c r="C87" s="47"/>
      <c r="D87" s="47"/>
      <c r="E87" s="50" t="s">
        <v>50</v>
      </c>
      <c r="F87" s="51">
        <v>50</v>
      </c>
      <c r="G87" s="50" t="s">
        <v>51</v>
      </c>
      <c r="H87" s="51">
        <v>10</v>
      </c>
      <c r="I87" s="52">
        <v>38.5</v>
      </c>
      <c r="J87" s="50" t="s">
        <v>46</v>
      </c>
      <c r="K87" s="51">
        <v>2.5</v>
      </c>
      <c r="L87" s="51">
        <v>10</v>
      </c>
      <c r="M87" s="51" t="s">
        <v>47</v>
      </c>
      <c r="N87" s="50"/>
      <c r="O87" s="51">
        <v>6</v>
      </c>
      <c r="P87" s="50" t="s">
        <v>71</v>
      </c>
      <c r="Q87" s="48" t="s">
        <v>204</v>
      </c>
      <c r="R87" s="49">
        <v>4</v>
      </c>
      <c r="S87" s="49">
        <v>25</v>
      </c>
      <c r="T87" s="54">
        <v>8</v>
      </c>
      <c r="U87" s="54">
        <v>18</v>
      </c>
      <c r="V87" s="53" t="s">
        <v>48</v>
      </c>
      <c r="W87" s="52">
        <v>64.2</v>
      </c>
      <c r="X87" s="51" t="s">
        <v>205</v>
      </c>
      <c r="Y87" s="51" t="s">
        <v>206</v>
      </c>
      <c r="Z87" s="51" t="s">
        <v>207</v>
      </c>
    </row>
    <row r="88" spans="1:26" ht="15.75" customHeight="1">
      <c r="A88" s="47">
        <v>85</v>
      </c>
      <c r="B88" s="47"/>
      <c r="C88" s="47"/>
      <c r="D88" s="47"/>
      <c r="E88" s="50" t="s">
        <v>50</v>
      </c>
      <c r="F88" s="51">
        <v>50</v>
      </c>
      <c r="G88" s="50" t="s">
        <v>51</v>
      </c>
      <c r="H88" s="51">
        <v>10</v>
      </c>
      <c r="I88" s="52">
        <v>38.5</v>
      </c>
      <c r="J88" s="50" t="s">
        <v>46</v>
      </c>
      <c r="K88" s="51">
        <v>2.5</v>
      </c>
      <c r="L88" s="51">
        <v>10</v>
      </c>
      <c r="M88" s="51" t="s">
        <v>47</v>
      </c>
      <c r="N88" s="50"/>
      <c r="O88" s="51">
        <v>6</v>
      </c>
      <c r="P88" s="50" t="s">
        <v>71</v>
      </c>
      <c r="Q88" s="48" t="s">
        <v>204</v>
      </c>
      <c r="R88" s="49">
        <v>4</v>
      </c>
      <c r="S88" s="49">
        <v>25</v>
      </c>
      <c r="T88" s="52">
        <v>8</v>
      </c>
      <c r="U88" s="52">
        <v>18</v>
      </c>
      <c r="V88" s="53" t="s">
        <v>48</v>
      </c>
      <c r="W88" s="52">
        <v>68</v>
      </c>
      <c r="X88" s="51" t="s">
        <v>208</v>
      </c>
      <c r="Y88" s="51" t="s">
        <v>209</v>
      </c>
      <c r="Z88" s="51" t="s">
        <v>210</v>
      </c>
    </row>
    <row r="89" spans="1:26" ht="15.75" customHeight="1">
      <c r="A89" s="47">
        <v>86</v>
      </c>
      <c r="B89" s="47"/>
      <c r="C89" s="47"/>
      <c r="D89" s="47"/>
      <c r="E89" s="50" t="s">
        <v>50</v>
      </c>
      <c r="F89" s="51">
        <v>50</v>
      </c>
      <c r="G89" s="50" t="s">
        <v>51</v>
      </c>
      <c r="H89" s="51">
        <v>10</v>
      </c>
      <c r="I89" s="52">
        <v>38.5</v>
      </c>
      <c r="J89" s="50" t="s">
        <v>46</v>
      </c>
      <c r="K89" s="51">
        <v>2.5</v>
      </c>
      <c r="L89" s="51">
        <v>10</v>
      </c>
      <c r="M89" s="51" t="s">
        <v>47</v>
      </c>
      <c r="N89" s="50"/>
      <c r="O89" s="51">
        <v>6</v>
      </c>
      <c r="P89" s="50" t="s">
        <v>71</v>
      </c>
      <c r="Q89" s="48" t="s">
        <v>204</v>
      </c>
      <c r="R89" s="49">
        <v>4</v>
      </c>
      <c r="S89" s="49">
        <v>25</v>
      </c>
      <c r="T89" s="54">
        <v>8</v>
      </c>
      <c r="U89" s="54">
        <v>18</v>
      </c>
      <c r="V89" s="53" t="s">
        <v>48</v>
      </c>
      <c r="W89" s="52">
        <v>60.4</v>
      </c>
      <c r="X89" s="51" t="s">
        <v>211</v>
      </c>
      <c r="Y89" s="51" t="s">
        <v>212</v>
      </c>
      <c r="Z89" s="51" t="s">
        <v>70</v>
      </c>
    </row>
    <row r="90" spans="1:26" ht="15.75" customHeight="1">
      <c r="A90" s="47">
        <v>87</v>
      </c>
      <c r="B90" s="47"/>
      <c r="C90" s="47"/>
      <c r="D90" s="47"/>
      <c r="E90" s="50" t="s">
        <v>50</v>
      </c>
      <c r="F90" s="51">
        <v>50</v>
      </c>
      <c r="G90" s="50" t="s">
        <v>51</v>
      </c>
      <c r="H90" s="51">
        <v>10</v>
      </c>
      <c r="I90" s="52">
        <v>38.5</v>
      </c>
      <c r="J90" s="50" t="s">
        <v>46</v>
      </c>
      <c r="K90" s="51">
        <v>2.5</v>
      </c>
      <c r="L90" s="51">
        <v>10</v>
      </c>
      <c r="M90" s="51" t="s">
        <v>47</v>
      </c>
      <c r="N90" s="50"/>
      <c r="O90" s="51">
        <v>6</v>
      </c>
      <c r="P90" s="50" t="s">
        <v>71</v>
      </c>
      <c r="Q90" s="48" t="s">
        <v>204</v>
      </c>
      <c r="R90" s="49">
        <v>4</v>
      </c>
      <c r="S90" s="49">
        <v>25</v>
      </c>
      <c r="T90" s="52">
        <v>8</v>
      </c>
      <c r="U90" s="52">
        <v>18</v>
      </c>
      <c r="V90" s="53" t="s">
        <v>48</v>
      </c>
      <c r="W90" s="52">
        <v>61.3</v>
      </c>
      <c r="X90" s="51" t="s">
        <v>213</v>
      </c>
      <c r="Y90" s="51" t="s">
        <v>214</v>
      </c>
      <c r="Z90" s="51" t="s">
        <v>215</v>
      </c>
    </row>
    <row r="91" spans="1:26" ht="15.75" customHeight="1">
      <c r="A91" s="47">
        <v>88</v>
      </c>
      <c r="B91" s="47"/>
      <c r="C91" s="47"/>
      <c r="D91" s="47"/>
      <c r="E91" s="50" t="s">
        <v>50</v>
      </c>
      <c r="F91" s="51">
        <v>50</v>
      </c>
      <c r="G91" s="50" t="s">
        <v>51</v>
      </c>
      <c r="H91" s="51">
        <v>10</v>
      </c>
      <c r="I91" s="52">
        <v>38.5</v>
      </c>
      <c r="J91" s="50" t="s">
        <v>46</v>
      </c>
      <c r="K91" s="51">
        <v>2.5</v>
      </c>
      <c r="L91" s="51">
        <v>10</v>
      </c>
      <c r="M91" s="51" t="s">
        <v>47</v>
      </c>
      <c r="N91" s="50"/>
      <c r="O91" s="51">
        <v>6</v>
      </c>
      <c r="P91" s="50" t="s">
        <v>71</v>
      </c>
      <c r="Q91" s="48" t="s">
        <v>204</v>
      </c>
      <c r="R91" s="49">
        <v>4</v>
      </c>
      <c r="S91" s="49">
        <v>25</v>
      </c>
      <c r="T91" s="54">
        <v>8</v>
      </c>
      <c r="U91" s="54">
        <v>18</v>
      </c>
      <c r="V91" s="53" t="s">
        <v>48</v>
      </c>
      <c r="W91" s="52">
        <v>65.2</v>
      </c>
      <c r="X91" s="51" t="s">
        <v>216</v>
      </c>
      <c r="Y91" s="51" t="s">
        <v>217</v>
      </c>
      <c r="Z91" s="51" t="s">
        <v>218</v>
      </c>
    </row>
    <row r="92" spans="1:26" ht="15.75" customHeight="1">
      <c r="A92" s="47">
        <v>89</v>
      </c>
      <c r="B92" s="47"/>
      <c r="C92" s="47"/>
      <c r="D92" s="47"/>
      <c r="E92" s="50" t="s">
        <v>50</v>
      </c>
      <c r="F92" s="51">
        <v>50</v>
      </c>
      <c r="G92" s="50" t="s">
        <v>51</v>
      </c>
      <c r="H92" s="51">
        <v>10</v>
      </c>
      <c r="I92" s="52">
        <v>38.5</v>
      </c>
      <c r="J92" s="50" t="s">
        <v>46</v>
      </c>
      <c r="K92" s="51">
        <v>2.5</v>
      </c>
      <c r="L92" s="51">
        <v>10</v>
      </c>
      <c r="M92" s="51" t="s">
        <v>47</v>
      </c>
      <c r="N92" s="50"/>
      <c r="O92" s="51">
        <v>6</v>
      </c>
      <c r="P92" s="50" t="s">
        <v>71</v>
      </c>
      <c r="Q92" s="48" t="s">
        <v>204</v>
      </c>
      <c r="R92" s="49">
        <v>4</v>
      </c>
      <c r="S92" s="49">
        <v>25</v>
      </c>
      <c r="T92" s="52">
        <v>8</v>
      </c>
      <c r="U92" s="52">
        <v>18</v>
      </c>
      <c r="V92" s="53" t="s">
        <v>48</v>
      </c>
      <c r="W92" s="52">
        <v>62.3</v>
      </c>
      <c r="X92" s="51" t="s">
        <v>64</v>
      </c>
      <c r="Y92" s="51" t="s">
        <v>219</v>
      </c>
      <c r="Z92" s="51" t="s">
        <v>220</v>
      </c>
    </row>
    <row r="93" spans="1:26" ht="15.75" customHeight="1">
      <c r="A93" s="47">
        <v>90</v>
      </c>
      <c r="B93" s="47"/>
      <c r="C93" s="47"/>
      <c r="D93" s="47"/>
      <c r="E93" s="50" t="s">
        <v>50</v>
      </c>
      <c r="F93" s="51">
        <v>50</v>
      </c>
      <c r="G93" s="50" t="s">
        <v>51</v>
      </c>
      <c r="H93" s="51">
        <v>10</v>
      </c>
      <c r="I93" s="52">
        <v>38.5</v>
      </c>
      <c r="J93" s="50" t="s">
        <v>46</v>
      </c>
      <c r="K93" s="51">
        <v>2.5</v>
      </c>
      <c r="L93" s="51">
        <v>10</v>
      </c>
      <c r="M93" s="51" t="s">
        <v>47</v>
      </c>
      <c r="N93" s="50"/>
      <c r="O93" s="51">
        <v>6</v>
      </c>
      <c r="P93" s="50" t="s">
        <v>71</v>
      </c>
      <c r="Q93" s="48" t="s">
        <v>204</v>
      </c>
      <c r="R93" s="49">
        <v>4</v>
      </c>
      <c r="S93" s="49">
        <v>25</v>
      </c>
      <c r="T93" s="54">
        <v>8</v>
      </c>
      <c r="U93" s="54">
        <v>18</v>
      </c>
      <c r="V93" s="53" t="s">
        <v>48</v>
      </c>
      <c r="W93" s="52">
        <v>63.63</v>
      </c>
      <c r="X93" s="51" t="s">
        <v>221</v>
      </c>
      <c r="Y93" s="61">
        <v>46056</v>
      </c>
      <c r="Z93" s="51" t="s">
        <v>222</v>
      </c>
    </row>
    <row r="94" spans="1:26" ht="15.75" customHeight="1">
      <c r="A94" s="47">
        <v>91</v>
      </c>
      <c r="B94" s="47"/>
      <c r="C94" s="47"/>
      <c r="D94" s="47"/>
      <c r="E94" s="50" t="s">
        <v>50</v>
      </c>
      <c r="F94" s="51">
        <v>50</v>
      </c>
      <c r="G94" s="50" t="s">
        <v>51</v>
      </c>
      <c r="H94" s="51">
        <v>10</v>
      </c>
      <c r="I94" s="52">
        <v>38.5</v>
      </c>
      <c r="J94" s="50" t="s">
        <v>46</v>
      </c>
      <c r="K94" s="51">
        <v>2.5</v>
      </c>
      <c r="L94" s="51">
        <v>10</v>
      </c>
      <c r="M94" s="51" t="s">
        <v>47</v>
      </c>
      <c r="N94" s="50"/>
      <c r="O94" s="51">
        <v>6</v>
      </c>
      <c r="P94" s="50" t="s">
        <v>71</v>
      </c>
      <c r="Q94" s="48" t="s">
        <v>204</v>
      </c>
      <c r="R94" s="49">
        <v>4</v>
      </c>
      <c r="S94" s="49">
        <v>25</v>
      </c>
      <c r="T94" s="52">
        <v>8</v>
      </c>
      <c r="U94" s="52">
        <v>18</v>
      </c>
      <c r="V94" s="53" t="s">
        <v>48</v>
      </c>
      <c r="W94" s="52">
        <v>64.7</v>
      </c>
      <c r="X94" s="51" t="s">
        <v>223</v>
      </c>
      <c r="Y94" s="51" t="s">
        <v>224</v>
      </c>
      <c r="Z94" s="51" t="s">
        <v>56</v>
      </c>
    </row>
    <row r="95" spans="1:26" ht="15.75" customHeight="1">
      <c r="A95" s="47">
        <v>92</v>
      </c>
      <c r="B95" s="47"/>
      <c r="C95" s="47"/>
      <c r="D95" s="47"/>
      <c r="E95" s="50" t="s">
        <v>50</v>
      </c>
      <c r="F95" s="51">
        <v>50</v>
      </c>
      <c r="G95" s="50" t="s">
        <v>51</v>
      </c>
      <c r="H95" s="51">
        <v>10</v>
      </c>
      <c r="I95" s="52">
        <v>38.5</v>
      </c>
      <c r="J95" s="50" t="s">
        <v>46</v>
      </c>
      <c r="K95" s="51">
        <v>2.5</v>
      </c>
      <c r="L95" s="51">
        <v>10</v>
      </c>
      <c r="M95" s="51" t="s">
        <v>47</v>
      </c>
      <c r="N95" s="50"/>
      <c r="O95" s="51">
        <v>6</v>
      </c>
      <c r="P95" s="50" t="s">
        <v>71</v>
      </c>
      <c r="Q95" s="48" t="s">
        <v>204</v>
      </c>
      <c r="R95" s="49">
        <v>4</v>
      </c>
      <c r="S95" s="49">
        <v>25</v>
      </c>
      <c r="T95" s="54">
        <v>8</v>
      </c>
      <c r="U95" s="54">
        <v>18</v>
      </c>
      <c r="V95" s="53" t="s">
        <v>48</v>
      </c>
      <c r="W95" s="52">
        <v>65.77</v>
      </c>
      <c r="X95" s="51" t="s">
        <v>225</v>
      </c>
      <c r="Y95" s="51" t="s">
        <v>226</v>
      </c>
      <c r="Z95" s="51" t="s">
        <v>227</v>
      </c>
    </row>
    <row r="96" spans="1:26" ht="15.75" customHeight="1">
      <c r="A96" s="47">
        <v>93</v>
      </c>
      <c r="B96" s="47"/>
      <c r="C96" s="47"/>
      <c r="D96" s="47"/>
      <c r="E96" s="50" t="s">
        <v>50</v>
      </c>
      <c r="F96" s="51">
        <v>50</v>
      </c>
      <c r="G96" s="50" t="s">
        <v>51</v>
      </c>
      <c r="H96" s="51">
        <v>10</v>
      </c>
      <c r="I96" s="52">
        <v>38.5</v>
      </c>
      <c r="J96" s="50" t="s">
        <v>46</v>
      </c>
      <c r="K96" s="51">
        <v>2.5</v>
      </c>
      <c r="L96" s="51">
        <v>10</v>
      </c>
      <c r="M96" s="51" t="s">
        <v>47</v>
      </c>
      <c r="N96" s="50"/>
      <c r="O96" s="51">
        <v>6</v>
      </c>
      <c r="P96" s="50" t="s">
        <v>71</v>
      </c>
      <c r="Q96" s="48" t="s">
        <v>204</v>
      </c>
      <c r="R96" s="49">
        <v>4</v>
      </c>
      <c r="S96" s="49">
        <v>25</v>
      </c>
      <c r="T96" s="52">
        <v>8</v>
      </c>
      <c r="U96" s="52">
        <v>18</v>
      </c>
      <c r="V96" s="53" t="s">
        <v>48</v>
      </c>
      <c r="W96" s="52">
        <v>60.84</v>
      </c>
      <c r="X96" s="51" t="s">
        <v>228</v>
      </c>
      <c r="Y96" s="51" t="s">
        <v>229</v>
      </c>
      <c r="Z96" s="51" t="s">
        <v>230</v>
      </c>
    </row>
    <row r="97" spans="1:26" ht="15.75" customHeight="1">
      <c r="A97" s="47">
        <v>94</v>
      </c>
      <c r="B97" s="47"/>
      <c r="C97" s="47"/>
      <c r="D97" s="47"/>
      <c r="E97" s="50" t="s">
        <v>50</v>
      </c>
      <c r="F97" s="51">
        <v>50</v>
      </c>
      <c r="G97" s="50" t="s">
        <v>51</v>
      </c>
      <c r="H97" s="51">
        <v>10</v>
      </c>
      <c r="I97" s="52">
        <v>38.5</v>
      </c>
      <c r="J97" s="50" t="s">
        <v>46</v>
      </c>
      <c r="K97" s="51">
        <v>2.5</v>
      </c>
      <c r="L97" s="51">
        <v>10</v>
      </c>
      <c r="M97" s="51" t="s">
        <v>47</v>
      </c>
      <c r="N97" s="50"/>
      <c r="O97" s="51">
        <v>6</v>
      </c>
      <c r="P97" s="50" t="s">
        <v>71</v>
      </c>
      <c r="Q97" s="48" t="s">
        <v>204</v>
      </c>
      <c r="R97" s="49">
        <v>4</v>
      </c>
      <c r="S97" s="49">
        <v>25</v>
      </c>
      <c r="T97" s="54">
        <v>8</v>
      </c>
      <c r="U97" s="54">
        <v>18</v>
      </c>
      <c r="V97" s="53" t="s">
        <v>48</v>
      </c>
      <c r="W97" s="52">
        <v>57.91</v>
      </c>
      <c r="X97" s="51" t="s">
        <v>231</v>
      </c>
      <c r="Y97" s="51" t="s">
        <v>232</v>
      </c>
      <c r="Z97" s="51" t="s">
        <v>233</v>
      </c>
    </row>
    <row r="98" spans="1:26" ht="15.75" customHeight="1">
      <c r="A98" s="47">
        <v>95</v>
      </c>
      <c r="B98" s="47"/>
      <c r="C98" s="47"/>
      <c r="D98" s="47"/>
      <c r="E98" s="50" t="s">
        <v>50</v>
      </c>
      <c r="F98" s="51">
        <v>50</v>
      </c>
      <c r="G98" s="50" t="s">
        <v>51</v>
      </c>
      <c r="H98" s="51">
        <v>10</v>
      </c>
      <c r="I98" s="52">
        <v>38.5</v>
      </c>
      <c r="J98" s="50" t="s">
        <v>46</v>
      </c>
      <c r="K98" s="51">
        <v>2.5</v>
      </c>
      <c r="L98" s="51">
        <v>10</v>
      </c>
      <c r="M98" s="51" t="s">
        <v>47</v>
      </c>
      <c r="N98" s="50"/>
      <c r="O98" s="51">
        <v>6</v>
      </c>
      <c r="P98" s="50" t="s">
        <v>71</v>
      </c>
      <c r="Q98" s="48" t="s">
        <v>204</v>
      </c>
      <c r="R98" s="49">
        <v>4</v>
      </c>
      <c r="S98" s="49">
        <v>25</v>
      </c>
      <c r="T98" s="52">
        <v>8</v>
      </c>
      <c r="U98" s="52">
        <v>18</v>
      </c>
      <c r="V98" s="53" t="s">
        <v>48</v>
      </c>
      <c r="W98" s="52">
        <v>56.98</v>
      </c>
      <c r="X98" s="51" t="s">
        <v>234</v>
      </c>
      <c r="Y98" s="51" t="s">
        <v>235</v>
      </c>
      <c r="Z98" s="51" t="s">
        <v>236</v>
      </c>
    </row>
    <row r="99" spans="1:26" ht="15.75" customHeight="1">
      <c r="A99" s="47">
        <v>96</v>
      </c>
      <c r="B99" s="47"/>
      <c r="C99" s="47"/>
      <c r="D99" s="47"/>
      <c r="E99" s="50" t="s">
        <v>50</v>
      </c>
      <c r="F99" s="51">
        <v>50</v>
      </c>
      <c r="G99" s="50" t="s">
        <v>51</v>
      </c>
      <c r="H99" s="51">
        <v>10</v>
      </c>
      <c r="I99" s="52">
        <v>38.5</v>
      </c>
      <c r="J99" s="50" t="s">
        <v>46</v>
      </c>
      <c r="K99" s="51">
        <v>2.5</v>
      </c>
      <c r="L99" s="51">
        <v>10</v>
      </c>
      <c r="M99" s="51" t="s">
        <v>47</v>
      </c>
      <c r="N99" s="50"/>
      <c r="O99" s="51">
        <v>6</v>
      </c>
      <c r="P99" s="50" t="s">
        <v>71</v>
      </c>
      <c r="Q99" s="48" t="s">
        <v>204</v>
      </c>
      <c r="R99" s="49">
        <v>4</v>
      </c>
      <c r="S99" s="49">
        <v>25</v>
      </c>
      <c r="T99" s="54">
        <v>8</v>
      </c>
      <c r="U99" s="54">
        <v>18</v>
      </c>
      <c r="V99" s="53" t="s">
        <v>48</v>
      </c>
      <c r="W99" s="52">
        <v>66.05</v>
      </c>
      <c r="X99" s="51" t="s">
        <v>65</v>
      </c>
      <c r="Y99" s="51" t="s">
        <v>237</v>
      </c>
      <c r="Z99" s="51" t="s">
        <v>238</v>
      </c>
    </row>
    <row r="100" spans="1:26" ht="15.75" customHeight="1">
      <c r="A100" s="47">
        <v>97</v>
      </c>
      <c r="B100" s="47"/>
      <c r="C100" s="47"/>
      <c r="D100" s="47"/>
      <c r="E100" s="50" t="s">
        <v>50</v>
      </c>
      <c r="F100" s="51">
        <v>50</v>
      </c>
      <c r="G100" s="50" t="s">
        <v>51</v>
      </c>
      <c r="H100" s="51">
        <v>10</v>
      </c>
      <c r="I100" s="52">
        <v>38.5</v>
      </c>
      <c r="J100" s="50" t="s">
        <v>46</v>
      </c>
      <c r="K100" s="51">
        <v>2.5</v>
      </c>
      <c r="L100" s="51">
        <v>10</v>
      </c>
      <c r="M100" s="51" t="s">
        <v>47</v>
      </c>
      <c r="N100" s="50"/>
      <c r="O100" s="51">
        <v>6</v>
      </c>
      <c r="P100" s="50" t="s">
        <v>71</v>
      </c>
      <c r="Q100" s="48" t="s">
        <v>204</v>
      </c>
      <c r="R100" s="49">
        <v>4</v>
      </c>
      <c r="S100" s="49">
        <v>25</v>
      </c>
      <c r="T100" s="52">
        <v>8</v>
      </c>
      <c r="U100" s="52">
        <v>18</v>
      </c>
      <c r="V100" s="53" t="s">
        <v>48</v>
      </c>
      <c r="W100" s="52">
        <v>65.12</v>
      </c>
      <c r="X100" s="51" t="s">
        <v>239</v>
      </c>
      <c r="Y100" s="51" t="s">
        <v>240</v>
      </c>
      <c r="Z100" s="51" t="s">
        <v>241</v>
      </c>
    </row>
    <row r="101" spans="1:26" ht="15.75" customHeight="1">
      <c r="A101" s="47">
        <v>98</v>
      </c>
      <c r="B101" s="47"/>
      <c r="C101" s="47"/>
      <c r="D101" s="47"/>
      <c r="E101" s="50" t="s">
        <v>50</v>
      </c>
      <c r="F101" s="51">
        <v>50</v>
      </c>
      <c r="G101" s="50" t="s">
        <v>51</v>
      </c>
      <c r="H101" s="51">
        <v>10</v>
      </c>
      <c r="I101" s="52">
        <v>38.5</v>
      </c>
      <c r="J101" s="50" t="s">
        <v>46</v>
      </c>
      <c r="K101" s="51">
        <v>2.5</v>
      </c>
      <c r="L101" s="51">
        <v>10</v>
      </c>
      <c r="M101" s="51" t="s">
        <v>47</v>
      </c>
      <c r="N101" s="50"/>
      <c r="O101" s="51">
        <v>6</v>
      </c>
      <c r="P101" s="50" t="s">
        <v>71</v>
      </c>
      <c r="Q101" s="48" t="s">
        <v>204</v>
      </c>
      <c r="R101" s="49">
        <v>4</v>
      </c>
      <c r="S101" s="49">
        <v>25</v>
      </c>
      <c r="T101" s="54">
        <v>8</v>
      </c>
      <c r="U101" s="54">
        <v>18</v>
      </c>
      <c r="V101" s="53" t="s">
        <v>48</v>
      </c>
      <c r="W101" s="52">
        <v>54.19</v>
      </c>
      <c r="X101" s="51" t="s">
        <v>242</v>
      </c>
      <c r="Y101" s="51" t="s">
        <v>243</v>
      </c>
      <c r="Z101" s="51" t="s">
        <v>244</v>
      </c>
    </row>
    <row r="102" spans="1:26" ht="15.75" customHeight="1">
      <c r="A102" s="47">
        <v>99</v>
      </c>
      <c r="B102" s="47"/>
      <c r="C102" s="47"/>
      <c r="D102" s="47"/>
      <c r="E102" s="50" t="s">
        <v>50</v>
      </c>
      <c r="F102" s="51">
        <v>50</v>
      </c>
      <c r="G102" s="50" t="s">
        <v>51</v>
      </c>
      <c r="H102" s="51">
        <v>10</v>
      </c>
      <c r="I102" s="52">
        <v>38.5</v>
      </c>
      <c r="J102" s="50" t="s">
        <v>46</v>
      </c>
      <c r="K102" s="51">
        <v>2.5</v>
      </c>
      <c r="L102" s="51">
        <v>10</v>
      </c>
      <c r="M102" s="51" t="s">
        <v>47</v>
      </c>
      <c r="N102" s="50"/>
      <c r="O102" s="51">
        <v>6</v>
      </c>
      <c r="P102" s="50" t="s">
        <v>71</v>
      </c>
      <c r="Q102" s="48" t="s">
        <v>204</v>
      </c>
      <c r="R102" s="49">
        <v>4</v>
      </c>
      <c r="S102" s="49">
        <v>25</v>
      </c>
      <c r="T102" s="52">
        <v>8</v>
      </c>
      <c r="U102" s="52">
        <v>18</v>
      </c>
      <c r="V102" s="53" t="s">
        <v>48</v>
      </c>
      <c r="W102" s="52">
        <v>63.26</v>
      </c>
      <c r="X102" s="51" t="s">
        <v>245</v>
      </c>
      <c r="Y102" s="51" t="s">
        <v>246</v>
      </c>
      <c r="Z102" s="51" t="s">
        <v>143</v>
      </c>
    </row>
    <row r="103" spans="1:26" ht="15.75" customHeight="1">
      <c r="A103" s="47">
        <v>100</v>
      </c>
      <c r="B103" s="47"/>
      <c r="C103" s="47"/>
      <c r="D103" s="47"/>
      <c r="E103" s="50" t="s">
        <v>50</v>
      </c>
      <c r="F103" s="51">
        <v>50</v>
      </c>
      <c r="G103" s="50" t="s">
        <v>51</v>
      </c>
      <c r="H103" s="51">
        <v>10</v>
      </c>
      <c r="I103" s="52">
        <v>38.5</v>
      </c>
      <c r="J103" s="50" t="s">
        <v>46</v>
      </c>
      <c r="K103" s="51">
        <v>2.5</v>
      </c>
      <c r="L103" s="51">
        <v>10</v>
      </c>
      <c r="M103" s="51" t="s">
        <v>47</v>
      </c>
      <c r="N103" s="50"/>
      <c r="O103" s="51">
        <v>6</v>
      </c>
      <c r="P103" s="50" t="s">
        <v>71</v>
      </c>
      <c r="Q103" s="48" t="s">
        <v>204</v>
      </c>
      <c r="R103" s="49">
        <v>4</v>
      </c>
      <c r="S103" s="49">
        <v>25</v>
      </c>
      <c r="T103" s="54">
        <v>8</v>
      </c>
      <c r="U103" s="54">
        <v>18</v>
      </c>
      <c r="V103" s="53" t="s">
        <v>48</v>
      </c>
      <c r="W103" s="52">
        <v>62.33</v>
      </c>
      <c r="X103" s="51" t="s">
        <v>247</v>
      </c>
      <c r="Y103" s="51" t="s">
        <v>248</v>
      </c>
      <c r="Z103" s="51" t="s">
        <v>249</v>
      </c>
    </row>
    <row r="104" spans="1:26" ht="15.75" customHeight="1">
      <c r="A104" s="47">
        <v>101</v>
      </c>
      <c r="B104" s="47"/>
      <c r="C104" s="47"/>
      <c r="D104" s="47"/>
      <c r="E104" s="50" t="s">
        <v>50</v>
      </c>
      <c r="F104" s="51">
        <v>50</v>
      </c>
      <c r="G104" s="50" t="s">
        <v>51</v>
      </c>
      <c r="H104" s="51">
        <v>10</v>
      </c>
      <c r="I104" s="52">
        <v>38.5</v>
      </c>
      <c r="J104" s="50" t="s">
        <v>46</v>
      </c>
      <c r="K104" s="51">
        <v>2.5</v>
      </c>
      <c r="L104" s="51">
        <v>10</v>
      </c>
      <c r="M104" s="51" t="s">
        <v>47</v>
      </c>
      <c r="N104" s="50"/>
      <c r="O104" s="51">
        <v>6</v>
      </c>
      <c r="P104" s="50" t="s">
        <v>71</v>
      </c>
      <c r="Q104" s="48" t="s">
        <v>204</v>
      </c>
      <c r="R104" s="49">
        <v>4</v>
      </c>
      <c r="S104" s="49">
        <v>25</v>
      </c>
      <c r="T104" s="52">
        <v>8</v>
      </c>
      <c r="U104" s="52">
        <v>18</v>
      </c>
      <c r="V104" s="53" t="s">
        <v>48</v>
      </c>
      <c r="W104" s="52">
        <v>61.4</v>
      </c>
      <c r="X104" s="51" t="s">
        <v>250</v>
      </c>
      <c r="Y104" s="51" t="s">
        <v>251</v>
      </c>
      <c r="Z104" s="51" t="s">
        <v>252</v>
      </c>
    </row>
    <row r="105" spans="1:26" ht="15.75" customHeight="1">
      <c r="A105" s="47">
        <v>102</v>
      </c>
      <c r="B105" s="47"/>
      <c r="C105" s="47"/>
      <c r="D105" s="47"/>
      <c r="E105" s="50" t="s">
        <v>50</v>
      </c>
      <c r="F105" s="51">
        <v>50</v>
      </c>
      <c r="G105" s="50" t="s">
        <v>51</v>
      </c>
      <c r="H105" s="51">
        <v>10</v>
      </c>
      <c r="I105" s="52">
        <v>38.5</v>
      </c>
      <c r="J105" s="50" t="s">
        <v>46</v>
      </c>
      <c r="K105" s="51">
        <v>2.5</v>
      </c>
      <c r="L105" s="51">
        <v>10</v>
      </c>
      <c r="M105" s="51" t="s">
        <v>47</v>
      </c>
      <c r="N105" s="50"/>
      <c r="O105" s="51">
        <v>6</v>
      </c>
      <c r="P105" s="50" t="s">
        <v>71</v>
      </c>
      <c r="Q105" s="48" t="s">
        <v>204</v>
      </c>
      <c r="R105" s="49">
        <v>4</v>
      </c>
      <c r="S105" s="49">
        <v>25</v>
      </c>
      <c r="T105" s="54">
        <v>8</v>
      </c>
      <c r="U105" s="54">
        <v>18</v>
      </c>
      <c r="V105" s="53" t="s">
        <v>48</v>
      </c>
      <c r="W105" s="52">
        <v>60.47</v>
      </c>
      <c r="X105" s="51" t="s">
        <v>253</v>
      </c>
      <c r="Y105" s="51" t="s">
        <v>254</v>
      </c>
      <c r="Z105" s="51" t="s">
        <v>255</v>
      </c>
    </row>
    <row r="106" spans="1:26" ht="15.75" customHeight="1">
      <c r="Q106" s="15" t="str">
        <f ca="1">IFERROR(__xludf.DUMMYFUNCTION("IF(P332="""","""",IF(REGEXMATCH(UPPER(P332),""CITRATE""),""Citrate"",IF(REGEXMATCH(UPPER(P332),""ACETATE""),""Sodium Acetate"",IF(REGEXMATCH(UPPER(P332),""PBS""),""PBS"",IF(REGEXMATCH(UPPER(P332),""TRIS""),""Tris"",IF(REGEXMATCH(UPPER(P332),""HEPES""),""H"&amp;"EPES"",IF(REGEXMATCH(UPPER(P332),""HISTIDINE""),""Histidine"",IF(REGEXMATCH(UPPER(P332),""SUCCINATE""),""Succinate"",IF(REGEXMATCH(UPPER(P332),""GLYCINE""),""Glycine"",P332)))))))))"),"")</f>
        <v/>
      </c>
      <c r="R106" s="16"/>
      <c r="S106" s="16"/>
      <c r="T106" s="31"/>
      <c r="U106" s="31"/>
    </row>
    <row r="107" spans="1:26" ht="15.75" customHeight="1">
      <c r="Q107" s="15" t="str">
        <f ca="1">IFERROR(__xludf.DUMMYFUNCTION("IF(P333="""","""",IF(REGEXMATCH(UPPER(P333),""CITRATE""),""Citrate"",IF(REGEXMATCH(UPPER(P333),""ACETATE""),""Sodium Acetate"",IF(REGEXMATCH(UPPER(P333),""PBS""),""PBS"",IF(REGEXMATCH(UPPER(P333),""TRIS""),""Tris"",IF(REGEXMATCH(UPPER(P333),""HEPES""),""H"&amp;"EPES"",IF(REGEXMATCH(UPPER(P333),""HISTIDINE""),""Histidine"",IF(REGEXMATCH(UPPER(P333),""SUCCINATE""),""Succinate"",IF(REGEXMATCH(UPPER(P333),""GLYCINE""),""Glycine"",P333)))))))))"),"")</f>
        <v/>
      </c>
      <c r="R107" s="16"/>
      <c r="S107" s="16"/>
      <c r="T107" s="19"/>
      <c r="U107" s="19"/>
    </row>
    <row r="108" spans="1:26" ht="15.75" customHeight="1">
      <c r="Q108" s="15" t="str">
        <f ca="1">IFERROR(__xludf.DUMMYFUNCTION("IF(P334="""","""",IF(REGEXMATCH(UPPER(P334),""CITRATE""),""Citrate"",IF(REGEXMATCH(UPPER(P334),""ACETATE""),""Sodium Acetate"",IF(REGEXMATCH(UPPER(P334),""PBS""),""PBS"",IF(REGEXMATCH(UPPER(P334),""TRIS""),""Tris"",IF(REGEXMATCH(UPPER(P334),""HEPES""),""H"&amp;"EPES"",IF(REGEXMATCH(UPPER(P334),""HISTIDINE""),""Histidine"",IF(REGEXMATCH(UPPER(P334),""SUCCINATE""),""Succinate"",IF(REGEXMATCH(UPPER(P334),""GLYCINE""),""Glycine"",P334)))))))))"),"")</f>
        <v/>
      </c>
      <c r="R108" s="16"/>
      <c r="S108" s="16"/>
      <c r="T108" s="31"/>
      <c r="U108" s="31"/>
    </row>
    <row r="109" spans="1:26" ht="15.75" customHeight="1">
      <c r="Q109" s="15" t="str">
        <f ca="1">IFERROR(__xludf.DUMMYFUNCTION("IF(P335="""","""",IF(REGEXMATCH(UPPER(P335),""CITRATE""),""Citrate"",IF(REGEXMATCH(UPPER(P335),""ACETATE""),""Sodium Acetate"",IF(REGEXMATCH(UPPER(P335),""PBS""),""PBS"",IF(REGEXMATCH(UPPER(P335),""TRIS""),""Tris"",IF(REGEXMATCH(UPPER(P335),""HEPES""),""H"&amp;"EPES"",IF(REGEXMATCH(UPPER(P335),""HISTIDINE""),""Histidine"",IF(REGEXMATCH(UPPER(P335),""SUCCINATE""),""Succinate"",IF(REGEXMATCH(UPPER(P335),""GLYCINE""),""Glycine"",P335)))))))))"),"")</f>
        <v/>
      </c>
      <c r="R109" s="16"/>
      <c r="S109" s="16"/>
      <c r="T109" s="19"/>
      <c r="U109" s="19"/>
    </row>
    <row r="110" spans="1:26" ht="15.75" customHeight="1">
      <c r="Q110" s="15" t="str">
        <f ca="1">IFERROR(__xludf.DUMMYFUNCTION("IF(P336="""","""",IF(REGEXMATCH(UPPER(P336),""CITRATE""),""Citrate"",IF(REGEXMATCH(UPPER(P336),""ACETATE""),""Sodium Acetate"",IF(REGEXMATCH(UPPER(P336),""PBS""),""PBS"",IF(REGEXMATCH(UPPER(P336),""TRIS""),""Tris"",IF(REGEXMATCH(UPPER(P336),""HEPES""),""H"&amp;"EPES"",IF(REGEXMATCH(UPPER(P336),""HISTIDINE""),""Histidine"",IF(REGEXMATCH(UPPER(P336),""SUCCINATE""),""Succinate"",IF(REGEXMATCH(UPPER(P336),""GLYCINE""),""Glycine"",P336)))))))))"),"")</f>
        <v/>
      </c>
      <c r="R110" s="16"/>
      <c r="S110" s="16"/>
      <c r="T110" s="31"/>
      <c r="U110" s="31"/>
    </row>
    <row r="111" spans="1:26" ht="15.75" customHeight="1">
      <c r="Q111" s="15" t="str">
        <f ca="1">IFERROR(__xludf.DUMMYFUNCTION("IF(P337="""","""",IF(REGEXMATCH(UPPER(P337),""CITRATE""),""Citrate"",IF(REGEXMATCH(UPPER(P337),""ACETATE""),""Sodium Acetate"",IF(REGEXMATCH(UPPER(P337),""PBS""),""PBS"",IF(REGEXMATCH(UPPER(P337),""TRIS""),""Tris"",IF(REGEXMATCH(UPPER(P337),""HEPES""),""H"&amp;"EPES"",IF(REGEXMATCH(UPPER(P337),""HISTIDINE""),""Histidine"",IF(REGEXMATCH(UPPER(P337),""SUCCINATE""),""Succinate"",IF(REGEXMATCH(UPPER(P337),""GLYCINE""),""Glycine"",P337)))))))))"),"")</f>
        <v/>
      </c>
      <c r="R111" s="16"/>
      <c r="S111" s="16"/>
      <c r="T111" s="19"/>
      <c r="U111" s="19"/>
    </row>
    <row r="112" spans="1:26" ht="15.75" customHeight="1">
      <c r="Q112" s="15" t="str">
        <f ca="1">IFERROR(__xludf.DUMMYFUNCTION("IF(P338="""","""",IF(REGEXMATCH(UPPER(P338),""CITRATE""),""Citrate"",IF(REGEXMATCH(UPPER(P338),""ACETATE""),""Sodium Acetate"",IF(REGEXMATCH(UPPER(P338),""PBS""),""PBS"",IF(REGEXMATCH(UPPER(P338),""TRIS""),""Tris"",IF(REGEXMATCH(UPPER(P338),""HEPES""),""H"&amp;"EPES"",IF(REGEXMATCH(UPPER(P338),""HISTIDINE""),""Histidine"",IF(REGEXMATCH(UPPER(P338),""SUCCINATE""),""Succinate"",IF(REGEXMATCH(UPPER(P338),""GLYCINE""),""Glycine"",P338)))))))))"),"")</f>
        <v/>
      </c>
      <c r="R112" s="16"/>
      <c r="S112" s="16"/>
      <c r="T112" s="31"/>
      <c r="U112" s="31"/>
    </row>
    <row r="113" spans="17:21" ht="15.75" customHeight="1">
      <c r="Q113" s="15" t="str">
        <f ca="1">IFERROR(__xludf.DUMMYFUNCTION("IF(P339="""","""",IF(REGEXMATCH(UPPER(P339),""CITRATE""),""Citrate"",IF(REGEXMATCH(UPPER(P339),""ACETATE""),""Sodium Acetate"",IF(REGEXMATCH(UPPER(P339),""PBS""),""PBS"",IF(REGEXMATCH(UPPER(P339),""TRIS""),""Tris"",IF(REGEXMATCH(UPPER(P339),""HEPES""),""H"&amp;"EPES"",IF(REGEXMATCH(UPPER(P339),""HISTIDINE""),""Histidine"",IF(REGEXMATCH(UPPER(P339),""SUCCINATE""),""Succinate"",IF(REGEXMATCH(UPPER(P339),""GLYCINE""),""Glycine"",P339)))))))))"),"")</f>
        <v/>
      </c>
      <c r="R113" s="16"/>
      <c r="S113" s="16"/>
      <c r="T113" s="19"/>
      <c r="U113" s="19"/>
    </row>
    <row r="114" spans="17:21" ht="15.75" customHeight="1">
      <c r="Q114" s="15" t="str">
        <f ca="1">IFERROR(__xludf.DUMMYFUNCTION("IF(P340="""","""",IF(REGEXMATCH(UPPER(P340),""CITRATE""),""Citrate"",IF(REGEXMATCH(UPPER(P340),""ACETATE""),""Sodium Acetate"",IF(REGEXMATCH(UPPER(P340),""PBS""),""PBS"",IF(REGEXMATCH(UPPER(P340),""TRIS""),""Tris"",IF(REGEXMATCH(UPPER(P340),""HEPES""),""H"&amp;"EPES"",IF(REGEXMATCH(UPPER(P340),""HISTIDINE""),""Histidine"",IF(REGEXMATCH(UPPER(P340),""SUCCINATE""),""Succinate"",IF(REGEXMATCH(UPPER(P340),""GLYCINE""),""Glycine"",P340)))))))))"),"")</f>
        <v/>
      </c>
      <c r="R114" s="16"/>
      <c r="S114" s="16"/>
      <c r="T114" s="31"/>
      <c r="U114" s="31"/>
    </row>
    <row r="115" spans="17:21" ht="15.75" customHeight="1">
      <c r="Q115" s="15" t="str">
        <f ca="1">IFERROR(__xludf.DUMMYFUNCTION("IF(P341="""","""",IF(REGEXMATCH(UPPER(P341),""CITRATE""),""Citrate"",IF(REGEXMATCH(UPPER(P341),""ACETATE""),""Sodium Acetate"",IF(REGEXMATCH(UPPER(P341),""PBS""),""PBS"",IF(REGEXMATCH(UPPER(P341),""TRIS""),""Tris"",IF(REGEXMATCH(UPPER(P341),""HEPES""),""H"&amp;"EPES"",IF(REGEXMATCH(UPPER(P341),""HISTIDINE""),""Histidine"",IF(REGEXMATCH(UPPER(P341),""SUCCINATE""),""Succinate"",IF(REGEXMATCH(UPPER(P341),""GLYCINE""),""Glycine"",P341)))))))))"),"")</f>
        <v/>
      </c>
      <c r="R115" s="16"/>
      <c r="S115" s="16"/>
      <c r="T115" s="19"/>
      <c r="U115" s="19"/>
    </row>
    <row r="116" spans="17:21" ht="15.75" customHeight="1">
      <c r="Q116" s="15" t="str">
        <f ca="1">IFERROR(__xludf.DUMMYFUNCTION("IF(P342="""","""",IF(REGEXMATCH(UPPER(P342),""CITRATE""),""Citrate"",IF(REGEXMATCH(UPPER(P342),""ACETATE""),""Sodium Acetate"",IF(REGEXMATCH(UPPER(P342),""PBS""),""PBS"",IF(REGEXMATCH(UPPER(P342),""TRIS""),""Tris"",IF(REGEXMATCH(UPPER(P342),""HEPES""),""H"&amp;"EPES"",IF(REGEXMATCH(UPPER(P342),""HISTIDINE""),""Histidine"",IF(REGEXMATCH(UPPER(P342),""SUCCINATE""),""Succinate"",IF(REGEXMATCH(UPPER(P342),""GLYCINE""),""Glycine"",P342)))))))))"),"")</f>
        <v/>
      </c>
      <c r="R116" s="16"/>
      <c r="S116" s="16"/>
      <c r="T116" s="31"/>
      <c r="U116" s="31"/>
    </row>
    <row r="117" spans="17:21" ht="15.75" customHeight="1">
      <c r="Q117" s="15" t="str">
        <f ca="1">IFERROR(__xludf.DUMMYFUNCTION("IF(P343="""","""",IF(REGEXMATCH(UPPER(P343),""CITRATE""),""Citrate"",IF(REGEXMATCH(UPPER(P343),""ACETATE""),""Sodium Acetate"",IF(REGEXMATCH(UPPER(P343),""PBS""),""PBS"",IF(REGEXMATCH(UPPER(P343),""TRIS""),""Tris"",IF(REGEXMATCH(UPPER(P343),""HEPES""),""H"&amp;"EPES"",IF(REGEXMATCH(UPPER(P343),""HISTIDINE""),""Histidine"",IF(REGEXMATCH(UPPER(P343),""SUCCINATE""),""Succinate"",IF(REGEXMATCH(UPPER(P343),""GLYCINE""),""Glycine"",P343)))))))))"),"")</f>
        <v/>
      </c>
      <c r="R117" s="16"/>
      <c r="S117" s="16"/>
      <c r="T117" s="19"/>
      <c r="U117" s="19"/>
    </row>
    <row r="118" spans="17:21" ht="15.75" customHeight="1">
      <c r="Q118" s="15" t="str">
        <f ca="1">IFERROR(__xludf.DUMMYFUNCTION("IF(P344="""","""",IF(REGEXMATCH(UPPER(P344),""CITRATE""),""Citrate"",IF(REGEXMATCH(UPPER(P344),""ACETATE""),""Sodium Acetate"",IF(REGEXMATCH(UPPER(P344),""PBS""),""PBS"",IF(REGEXMATCH(UPPER(P344),""TRIS""),""Tris"",IF(REGEXMATCH(UPPER(P344),""HEPES""),""H"&amp;"EPES"",IF(REGEXMATCH(UPPER(P344),""HISTIDINE""),""Histidine"",IF(REGEXMATCH(UPPER(P344),""SUCCINATE""),""Succinate"",IF(REGEXMATCH(UPPER(P344),""GLYCINE""),""Glycine"",P344)))))))))"),"")</f>
        <v/>
      </c>
      <c r="R118" s="16"/>
      <c r="S118" s="16"/>
      <c r="T118" s="31"/>
      <c r="U118" s="31"/>
    </row>
    <row r="119" spans="17:21" ht="15.75" customHeight="1">
      <c r="Q119" s="15" t="str">
        <f ca="1">IFERROR(__xludf.DUMMYFUNCTION("IF(P345="""","""",IF(REGEXMATCH(UPPER(P345),""CITRATE""),""Citrate"",IF(REGEXMATCH(UPPER(P345),""ACETATE""),""Sodium Acetate"",IF(REGEXMATCH(UPPER(P345),""PBS""),""PBS"",IF(REGEXMATCH(UPPER(P345),""TRIS""),""Tris"",IF(REGEXMATCH(UPPER(P345),""HEPES""),""H"&amp;"EPES"",IF(REGEXMATCH(UPPER(P345),""HISTIDINE""),""Histidine"",IF(REGEXMATCH(UPPER(P345),""SUCCINATE""),""Succinate"",IF(REGEXMATCH(UPPER(P345),""GLYCINE""),""Glycine"",P345)))))))))"),"")</f>
        <v/>
      </c>
      <c r="R119" s="16"/>
      <c r="S119" s="16"/>
      <c r="T119" s="19"/>
      <c r="U119" s="19"/>
    </row>
    <row r="120" spans="17:21" ht="15.75" customHeight="1">
      <c r="Q120" s="15" t="str">
        <f ca="1">IFERROR(__xludf.DUMMYFUNCTION("IF(P346="""","""",IF(REGEXMATCH(UPPER(P346),""CITRATE""),""Citrate"",IF(REGEXMATCH(UPPER(P346),""ACETATE""),""Sodium Acetate"",IF(REGEXMATCH(UPPER(P346),""PBS""),""PBS"",IF(REGEXMATCH(UPPER(P346),""TRIS""),""Tris"",IF(REGEXMATCH(UPPER(P346),""HEPES""),""H"&amp;"EPES"",IF(REGEXMATCH(UPPER(P346),""HISTIDINE""),""Histidine"",IF(REGEXMATCH(UPPER(P346),""SUCCINATE""),""Succinate"",IF(REGEXMATCH(UPPER(P346),""GLYCINE""),""Glycine"",P346)))))))))"),"")</f>
        <v/>
      </c>
      <c r="R120" s="16"/>
      <c r="S120" s="16"/>
      <c r="T120" s="31"/>
      <c r="U120" s="31"/>
    </row>
    <row r="121" spans="17:21" ht="15.75" customHeight="1">
      <c r="Q121" s="15" t="str">
        <f ca="1">IFERROR(__xludf.DUMMYFUNCTION("IF(P347="""","""",IF(REGEXMATCH(UPPER(P347),""CITRATE""),""Citrate"",IF(REGEXMATCH(UPPER(P347),""ACETATE""),""Sodium Acetate"",IF(REGEXMATCH(UPPER(P347),""PBS""),""PBS"",IF(REGEXMATCH(UPPER(P347),""TRIS""),""Tris"",IF(REGEXMATCH(UPPER(P347),""HEPES""),""H"&amp;"EPES"",IF(REGEXMATCH(UPPER(P347),""HISTIDINE""),""Histidine"",IF(REGEXMATCH(UPPER(P347),""SUCCINATE""),""Succinate"",IF(REGEXMATCH(UPPER(P347),""GLYCINE""),""Glycine"",P347)))))))))"),"")</f>
        <v/>
      </c>
      <c r="R121" s="16"/>
      <c r="S121" s="16"/>
      <c r="T121" s="19"/>
      <c r="U121" s="19"/>
    </row>
    <row r="122" spans="17:21" ht="15.75" customHeight="1">
      <c r="Q122" s="15" t="str">
        <f ca="1">IFERROR(__xludf.DUMMYFUNCTION("IF(P348="""","""",IF(REGEXMATCH(UPPER(P348),""CITRATE""),""Citrate"",IF(REGEXMATCH(UPPER(P348),""ACETATE""),""Sodium Acetate"",IF(REGEXMATCH(UPPER(P348),""PBS""),""PBS"",IF(REGEXMATCH(UPPER(P348),""TRIS""),""Tris"",IF(REGEXMATCH(UPPER(P348),""HEPES""),""H"&amp;"EPES"",IF(REGEXMATCH(UPPER(P348),""HISTIDINE""),""Histidine"",IF(REGEXMATCH(UPPER(P348),""SUCCINATE""),""Succinate"",IF(REGEXMATCH(UPPER(P348),""GLYCINE""),""Glycine"",P348)))))))))"),"")</f>
        <v/>
      </c>
      <c r="R122" s="16"/>
      <c r="S122" s="16"/>
      <c r="T122" s="31"/>
      <c r="U122" s="31"/>
    </row>
    <row r="123" spans="17:21" ht="15.75" customHeight="1">
      <c r="Q123" s="15" t="str">
        <f ca="1">IFERROR(__xludf.DUMMYFUNCTION("IF(P349="""","""",IF(REGEXMATCH(UPPER(P349),""CITRATE""),""Citrate"",IF(REGEXMATCH(UPPER(P349),""ACETATE""),""Sodium Acetate"",IF(REGEXMATCH(UPPER(P349),""PBS""),""PBS"",IF(REGEXMATCH(UPPER(P349),""TRIS""),""Tris"",IF(REGEXMATCH(UPPER(P349),""HEPES""),""H"&amp;"EPES"",IF(REGEXMATCH(UPPER(P349),""HISTIDINE""),""Histidine"",IF(REGEXMATCH(UPPER(P349),""SUCCINATE""),""Succinate"",IF(REGEXMATCH(UPPER(P349),""GLYCINE""),""Glycine"",P349)))))))))"),"")</f>
        <v/>
      </c>
      <c r="R123" s="16"/>
      <c r="S123" s="16"/>
      <c r="T123" s="19"/>
      <c r="U123" s="19"/>
    </row>
    <row r="124" spans="17:21" ht="15.75" customHeight="1">
      <c r="Q124" s="15" t="str">
        <f ca="1">IFERROR(__xludf.DUMMYFUNCTION("IF(P350="""","""",IF(REGEXMATCH(UPPER(P350),""CITRATE""),""Citrate"",IF(REGEXMATCH(UPPER(P350),""ACETATE""),""Sodium Acetate"",IF(REGEXMATCH(UPPER(P350),""PBS""),""PBS"",IF(REGEXMATCH(UPPER(P350),""TRIS""),""Tris"",IF(REGEXMATCH(UPPER(P350),""HEPES""),""H"&amp;"EPES"",IF(REGEXMATCH(UPPER(P350),""HISTIDINE""),""Histidine"",IF(REGEXMATCH(UPPER(P350),""SUCCINATE""),""Succinate"",IF(REGEXMATCH(UPPER(P350),""GLYCINE""),""Glycine"",P350)))))))))"),"")</f>
        <v/>
      </c>
      <c r="R124" s="16"/>
      <c r="S124" s="16"/>
      <c r="T124" s="31"/>
      <c r="U124" s="31"/>
    </row>
    <row r="125" spans="17:21" ht="15.75" customHeight="1">
      <c r="Q125" s="15" t="str">
        <f ca="1">IFERROR(__xludf.DUMMYFUNCTION("IF(P351="""","""",IF(REGEXMATCH(UPPER(P351),""CITRATE""),""Citrate"",IF(REGEXMATCH(UPPER(P351),""ACETATE""),""Sodium Acetate"",IF(REGEXMATCH(UPPER(P351),""PBS""),""PBS"",IF(REGEXMATCH(UPPER(P351),""TRIS""),""Tris"",IF(REGEXMATCH(UPPER(P351),""HEPES""),""H"&amp;"EPES"",IF(REGEXMATCH(UPPER(P351),""HISTIDINE""),""Histidine"",IF(REGEXMATCH(UPPER(P351),""SUCCINATE""),""Succinate"",IF(REGEXMATCH(UPPER(P351),""GLYCINE""),""Glycine"",P351)))))))))"),"")</f>
        <v/>
      </c>
      <c r="R125" s="16"/>
      <c r="S125" s="16"/>
      <c r="T125" s="19"/>
      <c r="U125" s="19"/>
    </row>
    <row r="126" spans="17:21" ht="15.75" customHeight="1">
      <c r="Q126" s="15" t="str">
        <f ca="1">IFERROR(__xludf.DUMMYFUNCTION("IF(P352="""","""",IF(REGEXMATCH(UPPER(P352),""CITRATE""),""Citrate"",IF(REGEXMATCH(UPPER(P352),""ACETATE""),""Sodium Acetate"",IF(REGEXMATCH(UPPER(P352),""PBS""),""PBS"",IF(REGEXMATCH(UPPER(P352),""TRIS""),""Tris"",IF(REGEXMATCH(UPPER(P352),""HEPES""),""H"&amp;"EPES"",IF(REGEXMATCH(UPPER(P352),""HISTIDINE""),""Histidine"",IF(REGEXMATCH(UPPER(P352),""SUCCINATE""),""Succinate"",IF(REGEXMATCH(UPPER(P352),""GLYCINE""),""Glycine"",P352)))))))))"),"")</f>
        <v/>
      </c>
      <c r="R126" s="16"/>
      <c r="S126" s="16"/>
      <c r="T126" s="31"/>
      <c r="U126" s="31"/>
    </row>
    <row r="127" spans="17:21" ht="15.75" customHeight="1">
      <c r="Q127" s="15" t="str">
        <f ca="1">IFERROR(__xludf.DUMMYFUNCTION("IF(P353="""","""",IF(REGEXMATCH(UPPER(P353),""CITRATE""),""Citrate"",IF(REGEXMATCH(UPPER(P353),""ACETATE""),""Sodium Acetate"",IF(REGEXMATCH(UPPER(P353),""PBS""),""PBS"",IF(REGEXMATCH(UPPER(P353),""TRIS""),""Tris"",IF(REGEXMATCH(UPPER(P353),""HEPES""),""H"&amp;"EPES"",IF(REGEXMATCH(UPPER(P353),""HISTIDINE""),""Histidine"",IF(REGEXMATCH(UPPER(P353),""SUCCINATE""),""Succinate"",IF(REGEXMATCH(UPPER(P353),""GLYCINE""),""Glycine"",P353)))))))))"),"")</f>
        <v/>
      </c>
      <c r="R127" s="16"/>
      <c r="S127" s="16"/>
      <c r="T127" s="19"/>
      <c r="U127" s="19"/>
    </row>
    <row r="128" spans="17:21" ht="15.75" customHeight="1">
      <c r="Q128" s="15" t="str">
        <f ca="1">IFERROR(__xludf.DUMMYFUNCTION("IF(P354="""","""",IF(REGEXMATCH(UPPER(P354),""CITRATE""),""Citrate"",IF(REGEXMATCH(UPPER(P354),""ACETATE""),""Sodium Acetate"",IF(REGEXMATCH(UPPER(P354),""PBS""),""PBS"",IF(REGEXMATCH(UPPER(P354),""TRIS""),""Tris"",IF(REGEXMATCH(UPPER(P354),""HEPES""),""H"&amp;"EPES"",IF(REGEXMATCH(UPPER(P354),""HISTIDINE""),""Histidine"",IF(REGEXMATCH(UPPER(P354),""SUCCINATE""),""Succinate"",IF(REGEXMATCH(UPPER(P354),""GLYCINE""),""Glycine"",P354)))))))))"),"")</f>
        <v/>
      </c>
      <c r="R128" s="16"/>
      <c r="S128" s="16"/>
      <c r="T128" s="31"/>
      <c r="U128" s="31"/>
    </row>
    <row r="129" spans="17:21" ht="15.75" customHeight="1">
      <c r="Q129" s="15" t="str">
        <f ca="1">IFERROR(__xludf.DUMMYFUNCTION("IF(P355="""","""",IF(REGEXMATCH(UPPER(P355),""CITRATE""),""Citrate"",IF(REGEXMATCH(UPPER(P355),""ACETATE""),""Sodium Acetate"",IF(REGEXMATCH(UPPER(P355),""PBS""),""PBS"",IF(REGEXMATCH(UPPER(P355),""TRIS""),""Tris"",IF(REGEXMATCH(UPPER(P355),""HEPES""),""H"&amp;"EPES"",IF(REGEXMATCH(UPPER(P355),""HISTIDINE""),""Histidine"",IF(REGEXMATCH(UPPER(P355),""SUCCINATE""),""Succinate"",IF(REGEXMATCH(UPPER(P355),""GLYCINE""),""Glycine"",P355)))))))))"),"")</f>
        <v/>
      </c>
      <c r="R129" s="16"/>
      <c r="S129" s="16"/>
      <c r="T129" s="19"/>
      <c r="U129" s="19"/>
    </row>
    <row r="130" spans="17:21" ht="15.75" customHeight="1">
      <c r="Q130" s="15" t="str">
        <f ca="1">IFERROR(__xludf.DUMMYFUNCTION("IF(P356="""","""",IF(REGEXMATCH(UPPER(P356),""CITRATE""),""Citrate"",IF(REGEXMATCH(UPPER(P356),""ACETATE""),""Sodium Acetate"",IF(REGEXMATCH(UPPER(P356),""PBS""),""PBS"",IF(REGEXMATCH(UPPER(P356),""TRIS""),""Tris"",IF(REGEXMATCH(UPPER(P356),""HEPES""),""H"&amp;"EPES"",IF(REGEXMATCH(UPPER(P356),""HISTIDINE""),""Histidine"",IF(REGEXMATCH(UPPER(P356),""SUCCINATE""),""Succinate"",IF(REGEXMATCH(UPPER(P356),""GLYCINE""),""Glycine"",P356)))))))))"),"")</f>
        <v/>
      </c>
      <c r="R130" s="16"/>
      <c r="S130" s="16"/>
      <c r="T130" s="31"/>
      <c r="U130" s="31"/>
    </row>
    <row r="131" spans="17:21" ht="15.75" customHeight="1">
      <c r="R131" s="33"/>
    </row>
    <row r="132" spans="17:21" ht="15.75" customHeight="1">
      <c r="R132" s="33"/>
    </row>
    <row r="133" spans="17:21" ht="15.75" customHeight="1">
      <c r="R133" s="33"/>
    </row>
    <row r="134" spans="17:21" ht="15.75" customHeight="1">
      <c r="R134" s="33"/>
    </row>
    <row r="135" spans="17:21" ht="15.75" customHeight="1">
      <c r="R135" s="33"/>
    </row>
    <row r="136" spans="17:21" ht="15.75" customHeight="1">
      <c r="R136" s="33"/>
    </row>
    <row r="137" spans="17:21" ht="15.75" customHeight="1">
      <c r="R137" s="33"/>
    </row>
    <row r="138" spans="17:21" ht="15.75" customHeight="1">
      <c r="R138" s="33"/>
    </row>
    <row r="139" spans="17:21" ht="15.75" customHeight="1">
      <c r="R139" s="33"/>
    </row>
    <row r="140" spans="17:21" ht="15.75" customHeight="1">
      <c r="R140" s="33"/>
    </row>
    <row r="141" spans="17:21" ht="15.75" customHeight="1">
      <c r="R141" s="33"/>
    </row>
    <row r="142" spans="17:21" ht="15.75" customHeight="1">
      <c r="R142" s="33"/>
    </row>
    <row r="143" spans="17:21" ht="15.75" customHeight="1">
      <c r="R143" s="33"/>
    </row>
    <row r="144" spans="17:21" ht="15.75" customHeight="1">
      <c r="R144" s="33"/>
    </row>
    <row r="145" spans="18:18" ht="15.75" customHeight="1">
      <c r="R145" s="33"/>
    </row>
    <row r="146" spans="18:18" ht="15.75" customHeight="1">
      <c r="R146" s="33"/>
    </row>
    <row r="147" spans="18:18" ht="15.75" customHeight="1">
      <c r="R147" s="33"/>
    </row>
    <row r="148" spans="18:18" ht="15.75" customHeight="1">
      <c r="R148" s="33"/>
    </row>
    <row r="149" spans="18:18" ht="15.75" customHeight="1">
      <c r="R149" s="33"/>
    </row>
    <row r="150" spans="18:18" ht="15.75" customHeight="1">
      <c r="R150" s="33"/>
    </row>
    <row r="151" spans="18:18" ht="15.75" customHeight="1">
      <c r="R151" s="33"/>
    </row>
    <row r="152" spans="18:18" ht="15.75" customHeight="1">
      <c r="R152" s="33"/>
    </row>
    <row r="153" spans="18:18" ht="15.75" customHeight="1">
      <c r="R153" s="33"/>
    </row>
    <row r="154" spans="18:18" ht="15.75" customHeight="1">
      <c r="R154" s="33"/>
    </row>
    <row r="155" spans="18:18" ht="15.75" customHeight="1">
      <c r="R155" s="33"/>
    </row>
    <row r="156" spans="18:18" ht="15.75" customHeight="1">
      <c r="R156" s="33"/>
    </row>
    <row r="157" spans="18:18" ht="15.75" customHeight="1">
      <c r="R157" s="33"/>
    </row>
    <row r="158" spans="18:18" ht="15.75" customHeight="1">
      <c r="R158" s="33"/>
    </row>
    <row r="159" spans="18:18" ht="15.75" customHeight="1">
      <c r="R159" s="33"/>
    </row>
    <row r="160" spans="18:18" ht="15.75" customHeight="1">
      <c r="R160" s="33"/>
    </row>
    <row r="161" spans="18:18" ht="15.75" customHeight="1">
      <c r="R161" s="33"/>
    </row>
    <row r="162" spans="18:18" ht="15.75" customHeight="1">
      <c r="R162" s="33"/>
    </row>
    <row r="163" spans="18:18" ht="15.75" customHeight="1">
      <c r="R163" s="33"/>
    </row>
    <row r="164" spans="18:18" ht="15.75" customHeight="1">
      <c r="R164" s="33"/>
    </row>
    <row r="165" spans="18:18" ht="15.75" customHeight="1">
      <c r="R165" s="33"/>
    </row>
    <row r="166" spans="18:18" ht="15.75" customHeight="1">
      <c r="R166" s="33"/>
    </row>
    <row r="167" spans="18:18" ht="15.75" customHeight="1">
      <c r="R167" s="33"/>
    </row>
    <row r="168" spans="18:18" ht="15.75" customHeight="1">
      <c r="R168" s="33"/>
    </row>
    <row r="169" spans="18:18" ht="15.75" customHeight="1">
      <c r="R169" s="33"/>
    </row>
    <row r="170" spans="18:18" ht="15.75" customHeight="1">
      <c r="R170" s="33"/>
    </row>
    <row r="171" spans="18:18" ht="15.75" customHeight="1">
      <c r="R171" s="33"/>
    </row>
    <row r="172" spans="18:18" ht="15.75" customHeight="1">
      <c r="R172" s="33"/>
    </row>
    <row r="173" spans="18:18" ht="15.75" customHeight="1">
      <c r="R173" s="33"/>
    </row>
    <row r="174" spans="18:18" ht="15.75" customHeight="1">
      <c r="R174" s="33"/>
    </row>
    <row r="175" spans="18:18" ht="15.75" customHeight="1">
      <c r="R175" s="33"/>
    </row>
    <row r="176" spans="18:18" ht="15.75" customHeight="1">
      <c r="R176" s="33"/>
    </row>
    <row r="177" spans="18:18" ht="15.75" customHeight="1">
      <c r="R177" s="33"/>
    </row>
    <row r="178" spans="18:18" ht="15.75" customHeight="1">
      <c r="R178" s="33"/>
    </row>
    <row r="179" spans="18:18" ht="15.75" customHeight="1">
      <c r="R179" s="33"/>
    </row>
    <row r="180" spans="18:18" ht="15.75" customHeight="1">
      <c r="R180" s="33"/>
    </row>
    <row r="181" spans="18:18" ht="15.75" customHeight="1">
      <c r="R181" s="33"/>
    </row>
    <row r="182" spans="18:18" ht="15.75" customHeight="1">
      <c r="R182" s="33"/>
    </row>
    <row r="183" spans="18:18" ht="15.75" customHeight="1">
      <c r="R183" s="33"/>
    </row>
    <row r="184" spans="18:18" ht="15.75" customHeight="1">
      <c r="R184" s="33"/>
    </row>
    <row r="185" spans="18:18" ht="15.75" customHeight="1">
      <c r="R185" s="33"/>
    </row>
    <row r="186" spans="18:18" ht="15.75" customHeight="1">
      <c r="R186" s="33"/>
    </row>
    <row r="187" spans="18:18" ht="15.75" customHeight="1">
      <c r="R187" s="33"/>
    </row>
    <row r="188" spans="18:18" ht="15.75" customHeight="1">
      <c r="R188" s="33"/>
    </row>
    <row r="189" spans="18:18" ht="15.75" customHeight="1">
      <c r="R189" s="33"/>
    </row>
    <row r="190" spans="18:18" ht="15.75" customHeight="1">
      <c r="R190" s="33"/>
    </row>
    <row r="191" spans="18:18" ht="15.75" customHeight="1">
      <c r="R191" s="33"/>
    </row>
    <row r="192" spans="18:18" ht="15.75" customHeight="1">
      <c r="R192" s="33"/>
    </row>
    <row r="193" spans="18:18" ht="15.75" customHeight="1">
      <c r="R193" s="33"/>
    </row>
    <row r="194" spans="18:18" ht="15.75" customHeight="1">
      <c r="R194" s="33"/>
    </row>
    <row r="195" spans="18:18" ht="15.75" customHeight="1">
      <c r="R195" s="33"/>
    </row>
    <row r="196" spans="18:18" ht="15.75" customHeight="1">
      <c r="R196" s="33"/>
    </row>
    <row r="197" spans="18:18" ht="15.75" customHeight="1">
      <c r="R197" s="33"/>
    </row>
    <row r="198" spans="18:18" ht="15.75" customHeight="1">
      <c r="R198" s="33"/>
    </row>
    <row r="199" spans="18:18" ht="15.75" customHeight="1">
      <c r="R199" s="33"/>
    </row>
    <row r="200" spans="18:18" ht="15.75" customHeight="1">
      <c r="R200" s="33"/>
    </row>
    <row r="201" spans="18:18" ht="15.75" customHeight="1">
      <c r="R201" s="33"/>
    </row>
    <row r="202" spans="18:18" ht="15.75" customHeight="1">
      <c r="R202" s="33"/>
    </row>
    <row r="203" spans="18:18" ht="15.75" customHeight="1">
      <c r="R203" s="33"/>
    </row>
    <row r="204" spans="18:18" ht="15.75" customHeight="1">
      <c r="R204" s="33"/>
    </row>
    <row r="205" spans="18:18" ht="15.75" customHeight="1">
      <c r="R205" s="33"/>
    </row>
    <row r="206" spans="18:18" ht="15.75" customHeight="1">
      <c r="R206" s="33"/>
    </row>
    <row r="207" spans="18:18" ht="15.75" customHeight="1">
      <c r="R207" s="33"/>
    </row>
    <row r="208" spans="18:18" ht="15.75" customHeight="1">
      <c r="R208" s="33"/>
    </row>
    <row r="209" spans="18:18" ht="15.75" customHeight="1">
      <c r="R209" s="33"/>
    </row>
    <row r="210" spans="18:18" ht="15.75" customHeight="1">
      <c r="R210" s="33"/>
    </row>
    <row r="211" spans="18:18" ht="15.75" customHeight="1">
      <c r="R211" s="33"/>
    </row>
    <row r="212" spans="18:18" ht="15.75" customHeight="1">
      <c r="R212" s="33"/>
    </row>
    <row r="213" spans="18:18" ht="15.75" customHeight="1">
      <c r="R213" s="33"/>
    </row>
    <row r="214" spans="18:18" ht="15.75" customHeight="1">
      <c r="R214" s="33"/>
    </row>
    <row r="215" spans="18:18" ht="15.75" customHeight="1">
      <c r="R215" s="33"/>
    </row>
    <row r="216" spans="18:18" ht="15.75" customHeight="1">
      <c r="R216" s="33"/>
    </row>
    <row r="217" spans="18:18" ht="15.75" customHeight="1">
      <c r="R217" s="33"/>
    </row>
    <row r="218" spans="18:18" ht="15.75" customHeight="1">
      <c r="R218" s="33"/>
    </row>
    <row r="219" spans="18:18" ht="15.75" customHeight="1">
      <c r="R219" s="33"/>
    </row>
    <row r="220" spans="18:18" ht="15.75" customHeight="1">
      <c r="R220" s="33"/>
    </row>
    <row r="221" spans="18:18" ht="15.75" customHeight="1">
      <c r="R221" s="33"/>
    </row>
    <row r="222" spans="18:18" ht="15.75" customHeight="1">
      <c r="R222" s="33"/>
    </row>
    <row r="223" spans="18:18" ht="15.75" customHeight="1">
      <c r="R223" s="33"/>
    </row>
    <row r="224" spans="18:18" ht="15.75" customHeight="1">
      <c r="R224" s="33"/>
    </row>
    <row r="225" spans="18:18" ht="15.75" customHeight="1">
      <c r="R225" s="33"/>
    </row>
    <row r="226" spans="18:18" ht="15.75" customHeight="1">
      <c r="R226" s="33"/>
    </row>
    <row r="227" spans="18:18" ht="15.75" customHeight="1">
      <c r="R227" s="33"/>
    </row>
    <row r="228" spans="18:18" ht="15.75" customHeight="1">
      <c r="R228" s="33"/>
    </row>
    <row r="229" spans="18:18" ht="15.75" customHeight="1">
      <c r="R229" s="33"/>
    </row>
    <row r="230" spans="18:18" ht="15.75" customHeight="1">
      <c r="R230" s="33"/>
    </row>
    <row r="231" spans="18:18" ht="15.75" customHeight="1">
      <c r="R231" s="33"/>
    </row>
    <row r="232" spans="18:18" ht="15.75" customHeight="1">
      <c r="R232" s="33"/>
    </row>
    <row r="233" spans="18:18" ht="15.75" customHeight="1">
      <c r="R233" s="33"/>
    </row>
    <row r="234" spans="18:18" ht="15.75" customHeight="1">
      <c r="R234" s="33"/>
    </row>
    <row r="235" spans="18:18" ht="15.75" customHeight="1">
      <c r="R235" s="33"/>
    </row>
    <row r="236" spans="18:18" ht="15.75" customHeight="1">
      <c r="R236" s="33"/>
    </row>
    <row r="237" spans="18:18" ht="15.75" customHeight="1">
      <c r="R237" s="33"/>
    </row>
    <row r="238" spans="18:18" ht="15.75" customHeight="1">
      <c r="R238" s="33"/>
    </row>
    <row r="239" spans="18:18" ht="15.75" customHeight="1">
      <c r="R239" s="33"/>
    </row>
    <row r="240" spans="18:18" ht="15.75" customHeight="1">
      <c r="R240" s="33"/>
    </row>
    <row r="241" spans="18:18" ht="15.75" customHeight="1">
      <c r="R241" s="33"/>
    </row>
    <row r="242" spans="18:18" ht="15.75" customHeight="1">
      <c r="R242" s="33"/>
    </row>
    <row r="243" spans="18:18" ht="15.75" customHeight="1">
      <c r="R243" s="33"/>
    </row>
    <row r="244" spans="18:18" ht="15.75" customHeight="1">
      <c r="R244" s="33"/>
    </row>
    <row r="245" spans="18:18" ht="15.75" customHeight="1">
      <c r="R245" s="33"/>
    </row>
    <row r="246" spans="18:18" ht="15.75" customHeight="1">
      <c r="R246" s="33"/>
    </row>
    <row r="247" spans="18:18" ht="15.75" customHeight="1">
      <c r="R247" s="33"/>
    </row>
    <row r="248" spans="18:18" ht="15.75" customHeight="1">
      <c r="R248" s="33"/>
    </row>
    <row r="249" spans="18:18" ht="15.75" customHeight="1">
      <c r="R249" s="33"/>
    </row>
    <row r="250" spans="18:18" ht="15.75" customHeight="1">
      <c r="R250" s="33"/>
    </row>
    <row r="251" spans="18:18" ht="15.75" customHeight="1">
      <c r="R251" s="33"/>
    </row>
    <row r="252" spans="18:18" ht="15.75" customHeight="1">
      <c r="R252" s="33"/>
    </row>
    <row r="253" spans="18:18" ht="15.75" customHeight="1">
      <c r="R253" s="33"/>
    </row>
    <row r="254" spans="18:18" ht="15.75" customHeight="1">
      <c r="R254" s="33"/>
    </row>
    <row r="255" spans="18:18" ht="15.75" customHeight="1">
      <c r="R255" s="33"/>
    </row>
    <row r="256" spans="18:18" ht="15.75" customHeight="1">
      <c r="R256" s="33"/>
    </row>
    <row r="257" spans="18:18" ht="15.75" customHeight="1">
      <c r="R257" s="33"/>
    </row>
    <row r="258" spans="18:18" ht="15.75" customHeight="1">
      <c r="R258" s="33"/>
    </row>
    <row r="259" spans="18:18" ht="15.75" customHeight="1">
      <c r="R259" s="33"/>
    </row>
    <row r="260" spans="18:18" ht="15.75" customHeight="1">
      <c r="R260" s="33"/>
    </row>
    <row r="261" spans="18:18" ht="15.75" customHeight="1">
      <c r="R261" s="33"/>
    </row>
    <row r="262" spans="18:18" ht="15.75" customHeight="1">
      <c r="R262" s="33"/>
    </row>
    <row r="263" spans="18:18" ht="15.75" customHeight="1">
      <c r="R263" s="33"/>
    </row>
    <row r="264" spans="18:18" ht="15.75" customHeight="1">
      <c r="R264" s="33"/>
    </row>
    <row r="265" spans="18:18" ht="15.75" customHeight="1">
      <c r="R265" s="33"/>
    </row>
    <row r="266" spans="18:18" ht="15.75" customHeight="1">
      <c r="R266" s="33"/>
    </row>
    <row r="267" spans="18:18" ht="15.75" customHeight="1">
      <c r="R267" s="33"/>
    </row>
    <row r="268" spans="18:18" ht="15.75" customHeight="1">
      <c r="R268" s="33"/>
    </row>
    <row r="269" spans="18:18" ht="15.75" customHeight="1">
      <c r="R269" s="33"/>
    </row>
    <row r="270" spans="18:18" ht="15.75" customHeight="1">
      <c r="R270" s="33"/>
    </row>
    <row r="271" spans="18:18" ht="15.75" customHeight="1">
      <c r="R271" s="33"/>
    </row>
    <row r="272" spans="18:18" ht="15.75" customHeight="1">
      <c r="R272" s="33"/>
    </row>
    <row r="273" spans="18:32" ht="15.75" customHeight="1">
      <c r="R273" s="33"/>
    </row>
    <row r="274" spans="18:32" ht="15.75" customHeight="1">
      <c r="R274" s="33"/>
    </row>
    <row r="275" spans="18:32" ht="15.75" customHeight="1">
      <c r="R275" s="33"/>
    </row>
    <row r="276" spans="18:32" ht="15.75" customHeight="1">
      <c r="R276" s="33"/>
      <c r="AC276" s="27"/>
      <c r="AD276" s="27"/>
      <c r="AE276" s="27"/>
      <c r="AF276" s="27"/>
    </row>
    <row r="277" spans="18:32" ht="15.75" customHeight="1">
      <c r="R277" s="33"/>
    </row>
    <row r="278" spans="18:32" ht="15.75" customHeight="1">
      <c r="R278" s="33"/>
    </row>
    <row r="279" spans="18:32" ht="15.75" customHeight="1">
      <c r="R279" s="33"/>
    </row>
    <row r="280" spans="18:32" ht="15.75" customHeight="1">
      <c r="R280" s="33"/>
    </row>
    <row r="281" spans="18:32" ht="15.75" customHeight="1">
      <c r="R281" s="33"/>
    </row>
    <row r="282" spans="18:32" ht="15.75" customHeight="1">
      <c r="R282" s="33"/>
    </row>
    <row r="283" spans="18:32" ht="15.75" customHeight="1">
      <c r="R283" s="33"/>
    </row>
    <row r="284" spans="18:32" ht="15.75" customHeight="1">
      <c r="R284" s="33"/>
    </row>
    <row r="285" spans="18:32" ht="15.75" customHeight="1">
      <c r="R285" s="33"/>
    </row>
    <row r="286" spans="18:32" ht="15.75" customHeight="1">
      <c r="R286" s="33"/>
    </row>
    <row r="287" spans="18:32" ht="15.75" customHeight="1">
      <c r="R287" s="33"/>
    </row>
    <row r="288" spans="18:32" ht="15.75" customHeight="1">
      <c r="R288" s="33"/>
    </row>
    <row r="289" spans="18:18" ht="15.75" customHeight="1">
      <c r="R289" s="33"/>
    </row>
    <row r="290" spans="18:18" ht="15.75" customHeight="1">
      <c r="R290" s="33"/>
    </row>
    <row r="291" spans="18:18" ht="15.75" customHeight="1">
      <c r="R291" s="33"/>
    </row>
    <row r="292" spans="18:18" ht="15.75" customHeight="1">
      <c r="R292" s="33"/>
    </row>
    <row r="293" spans="18:18" ht="15.75" customHeight="1">
      <c r="R293" s="33"/>
    </row>
    <row r="294" spans="18:18" ht="15.75" customHeight="1">
      <c r="R294" s="33"/>
    </row>
    <row r="295" spans="18:18" ht="15.75" customHeight="1">
      <c r="R295" s="33"/>
    </row>
    <row r="296" spans="18:18" ht="15.75" customHeight="1">
      <c r="R296" s="33"/>
    </row>
    <row r="297" spans="18:18" ht="15.75" customHeight="1">
      <c r="R297" s="33"/>
    </row>
    <row r="298" spans="18:18" ht="15.75" customHeight="1">
      <c r="R298" s="33"/>
    </row>
    <row r="299" spans="18:18" ht="15.75" customHeight="1">
      <c r="R299" s="33"/>
    </row>
    <row r="300" spans="18:18" ht="15.75" customHeight="1">
      <c r="R300" s="33"/>
    </row>
    <row r="301" spans="18:18" ht="15.75" customHeight="1">
      <c r="R301" s="33"/>
    </row>
    <row r="302" spans="18:18" ht="15.75" customHeight="1">
      <c r="R302" s="33"/>
    </row>
    <row r="303" spans="18:18" ht="15.75" customHeight="1">
      <c r="R303" s="33"/>
    </row>
    <row r="304" spans="18:18" ht="15.75" customHeight="1">
      <c r="R304" s="33"/>
    </row>
    <row r="305" spans="18:18" ht="15.75" customHeight="1">
      <c r="R305" s="33"/>
    </row>
    <row r="306" spans="18:18" ht="15.75" customHeight="1">
      <c r="R306" s="33"/>
    </row>
    <row r="307" spans="18:18" ht="15.75" customHeight="1">
      <c r="R307" s="33"/>
    </row>
    <row r="308" spans="18:18" ht="15.75" customHeight="1">
      <c r="R308" s="33"/>
    </row>
    <row r="309" spans="18:18" ht="15.75" customHeight="1">
      <c r="R309" s="33"/>
    </row>
    <row r="310" spans="18:18" ht="15.75" customHeight="1">
      <c r="R310" s="33"/>
    </row>
    <row r="311" spans="18:18" ht="15.75" customHeight="1">
      <c r="R311" s="33"/>
    </row>
    <row r="312" spans="18:18" ht="15.75" customHeight="1">
      <c r="R312" s="33"/>
    </row>
    <row r="313" spans="18:18" ht="15.75" customHeight="1">
      <c r="R313" s="33"/>
    </row>
    <row r="314" spans="18:18" ht="15.75" customHeight="1">
      <c r="R314" s="33"/>
    </row>
    <row r="315" spans="18:18" ht="15.75" customHeight="1">
      <c r="R315" s="33"/>
    </row>
    <row r="316" spans="18:18" ht="15.75" customHeight="1">
      <c r="R316" s="33"/>
    </row>
    <row r="317" spans="18:18" ht="15.75" customHeight="1">
      <c r="R317" s="33"/>
    </row>
    <row r="318" spans="18:18" ht="15.75" customHeight="1">
      <c r="R318" s="33"/>
    </row>
    <row r="319" spans="18:18" ht="15.75" customHeight="1">
      <c r="R319" s="33"/>
    </row>
    <row r="320" spans="18:18" ht="15.75" customHeight="1">
      <c r="R320" s="33"/>
    </row>
    <row r="321" spans="18:18" ht="15.75" customHeight="1">
      <c r="R321" s="33"/>
    </row>
    <row r="322" spans="18:18" ht="15.75" customHeight="1">
      <c r="R322" s="33"/>
    </row>
    <row r="323" spans="18:18" ht="15.75" customHeight="1">
      <c r="R323" s="33"/>
    </row>
    <row r="324" spans="18:18" ht="15.75" customHeight="1">
      <c r="R324" s="33"/>
    </row>
    <row r="325" spans="18:18" ht="15.75" customHeight="1">
      <c r="R325" s="33"/>
    </row>
    <row r="326" spans="18:18" ht="15.75" customHeight="1">
      <c r="R326" s="33"/>
    </row>
    <row r="327" spans="18:18" ht="15.75" customHeight="1">
      <c r="R327" s="33"/>
    </row>
    <row r="328" spans="18:18" ht="15.75" customHeight="1">
      <c r="R328" s="33"/>
    </row>
    <row r="329" spans="18:18" ht="15.75" customHeight="1">
      <c r="R329" s="33"/>
    </row>
    <row r="330" spans="18:18" ht="15.75" customHeight="1">
      <c r="R330" s="33"/>
    </row>
    <row r="331" spans="18:18" ht="15.75" customHeight="1">
      <c r="R331" s="33"/>
    </row>
    <row r="332" spans="18:18" ht="15.75" customHeight="1">
      <c r="R332" s="33"/>
    </row>
    <row r="333" spans="18:18" ht="15.75" customHeight="1">
      <c r="R333" s="33"/>
    </row>
    <row r="334" spans="18:18" ht="15.75" customHeight="1">
      <c r="R334" s="33"/>
    </row>
    <row r="335" spans="18:18" ht="15.75" customHeight="1">
      <c r="R335" s="33"/>
    </row>
    <row r="336" spans="18:18" ht="15.75" customHeight="1">
      <c r="R336" s="33"/>
    </row>
    <row r="337" spans="18:18" ht="15.75" customHeight="1">
      <c r="R337" s="33"/>
    </row>
    <row r="338" spans="18:18" ht="15.75" customHeight="1">
      <c r="R338" s="33"/>
    </row>
    <row r="339" spans="18:18" ht="15.75" customHeight="1">
      <c r="R339" s="33"/>
    </row>
    <row r="340" spans="18:18" ht="15.75" customHeight="1">
      <c r="R340" s="33"/>
    </row>
    <row r="341" spans="18:18" ht="15.75" customHeight="1">
      <c r="R341" s="33"/>
    </row>
    <row r="342" spans="18:18" ht="15.75" customHeight="1">
      <c r="R342" s="33"/>
    </row>
    <row r="343" spans="18:18" ht="15.75" customHeight="1">
      <c r="R343" s="33"/>
    </row>
    <row r="344" spans="18:18" ht="15.75" customHeight="1">
      <c r="R344" s="33"/>
    </row>
    <row r="345" spans="18:18" ht="15.75" customHeight="1">
      <c r="R345" s="33"/>
    </row>
    <row r="346" spans="18:18" ht="15.75" customHeight="1">
      <c r="R346" s="33"/>
    </row>
    <row r="347" spans="18:18" ht="15.75" customHeight="1">
      <c r="R347" s="33"/>
    </row>
    <row r="348" spans="18:18" ht="15.75" customHeight="1">
      <c r="R348" s="33"/>
    </row>
    <row r="349" spans="18:18" ht="15.75" customHeight="1">
      <c r="R349" s="33"/>
    </row>
    <row r="350" spans="18:18" ht="15.75" customHeight="1">
      <c r="R350" s="33"/>
    </row>
    <row r="351" spans="18:18" ht="15.75" customHeight="1">
      <c r="R351" s="33"/>
    </row>
    <row r="352" spans="18:18" ht="15.75" customHeight="1">
      <c r="R352" s="33"/>
    </row>
    <row r="353" spans="18:18" ht="15.75" customHeight="1">
      <c r="R353" s="33"/>
    </row>
    <row r="354" spans="18:18" ht="15.75" customHeight="1">
      <c r="R354" s="33"/>
    </row>
    <row r="355" spans="18:18" ht="15.75" customHeight="1">
      <c r="R355" s="33"/>
    </row>
    <row r="356" spans="18:18" ht="15.75" customHeight="1">
      <c r="R356" s="33"/>
    </row>
    <row r="357" spans="18:18" ht="15.75" customHeight="1">
      <c r="R357" s="33"/>
    </row>
    <row r="358" spans="18:18" ht="15.75" customHeight="1">
      <c r="R358" s="33"/>
    </row>
    <row r="359" spans="18:18" ht="15.75" customHeight="1">
      <c r="R359" s="33"/>
    </row>
    <row r="360" spans="18:18" ht="15.75" customHeight="1">
      <c r="R360" s="33"/>
    </row>
    <row r="361" spans="18:18" ht="15.75" customHeight="1">
      <c r="R361" s="33"/>
    </row>
    <row r="362" spans="18:18" ht="15.75" customHeight="1">
      <c r="R362" s="33"/>
    </row>
    <row r="363" spans="18:18" ht="15.75" customHeight="1">
      <c r="R363" s="33"/>
    </row>
    <row r="364" spans="18:18" ht="15.75" customHeight="1">
      <c r="R364" s="33"/>
    </row>
    <row r="365" spans="18:18" ht="15.75" customHeight="1">
      <c r="R365" s="33"/>
    </row>
    <row r="366" spans="18:18" ht="15.75" customHeight="1">
      <c r="R366" s="33"/>
    </row>
    <row r="367" spans="18:18" ht="15.75" customHeight="1">
      <c r="R367" s="33"/>
    </row>
    <row r="368" spans="18:18" ht="15.75" customHeight="1">
      <c r="R368" s="33"/>
    </row>
    <row r="369" spans="18:18" ht="15.75" customHeight="1">
      <c r="R369" s="33"/>
    </row>
    <row r="370" spans="18:18" ht="15.75" customHeight="1">
      <c r="R370" s="33"/>
    </row>
    <row r="371" spans="18:18" ht="15.75" customHeight="1">
      <c r="R371" s="33"/>
    </row>
    <row r="372" spans="18:18" ht="15.75" customHeight="1">
      <c r="R372" s="33"/>
    </row>
    <row r="373" spans="18:18" ht="15.75" customHeight="1">
      <c r="R373" s="33"/>
    </row>
    <row r="374" spans="18:18" ht="15.75" customHeight="1">
      <c r="R374" s="33"/>
    </row>
    <row r="375" spans="18:18" ht="15.75" customHeight="1">
      <c r="R375" s="33"/>
    </row>
    <row r="376" spans="18:18" ht="15.75" customHeight="1">
      <c r="R376" s="33"/>
    </row>
    <row r="377" spans="18:18" ht="15.75" customHeight="1">
      <c r="R377" s="33"/>
    </row>
    <row r="378" spans="18:18" ht="15.75" customHeight="1">
      <c r="R378" s="33"/>
    </row>
    <row r="379" spans="18:18" ht="15.75" customHeight="1">
      <c r="R379" s="33"/>
    </row>
    <row r="380" spans="18:18" ht="15.75" customHeight="1">
      <c r="R380" s="33"/>
    </row>
    <row r="381" spans="18:18" ht="15.75" customHeight="1">
      <c r="R381" s="33"/>
    </row>
    <row r="382" spans="18:18" ht="15.75" customHeight="1">
      <c r="R382" s="33"/>
    </row>
    <row r="383" spans="18:18" ht="15.75" customHeight="1">
      <c r="R383" s="33"/>
    </row>
    <row r="384" spans="18:18" ht="15.75" customHeight="1">
      <c r="R384" s="33"/>
    </row>
    <row r="385" spans="18:18" ht="15.75" customHeight="1">
      <c r="R385" s="33"/>
    </row>
    <row r="386" spans="18:18" ht="15.75" customHeight="1">
      <c r="R386" s="33"/>
    </row>
    <row r="387" spans="18:18" ht="15.75" customHeight="1">
      <c r="R387" s="33"/>
    </row>
    <row r="388" spans="18:18" ht="15.75" customHeight="1">
      <c r="R388" s="33"/>
    </row>
    <row r="389" spans="18:18" ht="15.75" customHeight="1">
      <c r="R389" s="33"/>
    </row>
    <row r="390" spans="18:18" ht="15.75" customHeight="1">
      <c r="R390" s="33"/>
    </row>
    <row r="391" spans="18:18" ht="15.75" customHeight="1">
      <c r="R391" s="33"/>
    </row>
    <row r="392" spans="18:18" ht="15.75" customHeight="1">
      <c r="R392" s="33"/>
    </row>
    <row r="393" spans="18:18" ht="15.75" customHeight="1">
      <c r="R393" s="33"/>
    </row>
    <row r="394" spans="18:18" ht="15.75" customHeight="1">
      <c r="R394" s="33"/>
    </row>
    <row r="395" spans="18:18" ht="15.75" customHeight="1">
      <c r="R395" s="33"/>
    </row>
    <row r="396" spans="18:18" ht="15.75" customHeight="1">
      <c r="R396" s="33"/>
    </row>
    <row r="397" spans="18:18" ht="15.75" customHeight="1">
      <c r="R397" s="33"/>
    </row>
    <row r="398" spans="18:18" ht="15.75" customHeight="1">
      <c r="R398" s="33"/>
    </row>
    <row r="399" spans="18:18" ht="15.75" customHeight="1">
      <c r="R399" s="33"/>
    </row>
    <row r="400" spans="18:18" ht="15.75" customHeight="1">
      <c r="R400" s="33"/>
    </row>
    <row r="401" spans="18:18" ht="15.75" customHeight="1">
      <c r="R401" s="33"/>
    </row>
    <row r="402" spans="18:18" ht="15.75" customHeight="1">
      <c r="R402" s="33"/>
    </row>
    <row r="403" spans="18:18" ht="15.75" customHeight="1">
      <c r="R403" s="33"/>
    </row>
    <row r="404" spans="18:18" ht="15.75" customHeight="1">
      <c r="R404" s="33"/>
    </row>
    <row r="405" spans="18:18" ht="15.75" customHeight="1">
      <c r="R405" s="33"/>
    </row>
    <row r="406" spans="18:18" ht="15.75" customHeight="1">
      <c r="R406" s="33"/>
    </row>
    <row r="407" spans="18:18" ht="15.75" customHeight="1">
      <c r="R407" s="33"/>
    </row>
    <row r="408" spans="18:18" ht="15.75" customHeight="1">
      <c r="R408" s="33"/>
    </row>
    <row r="409" spans="18:18" ht="15.75" customHeight="1">
      <c r="R409" s="33"/>
    </row>
    <row r="410" spans="18:18" ht="15.75" customHeight="1">
      <c r="R410" s="33"/>
    </row>
    <row r="411" spans="18:18" ht="15.75" customHeight="1">
      <c r="R411" s="33"/>
    </row>
    <row r="412" spans="18:18" ht="15.75" customHeight="1">
      <c r="R412" s="33"/>
    </row>
    <row r="413" spans="18:18" ht="15.75" customHeight="1">
      <c r="R413" s="33"/>
    </row>
    <row r="414" spans="18:18" ht="15.75" customHeight="1">
      <c r="R414" s="33"/>
    </row>
    <row r="415" spans="18:18" ht="15.75" customHeight="1">
      <c r="R415" s="33"/>
    </row>
    <row r="416" spans="18:18" ht="15.75" customHeight="1">
      <c r="R416" s="33"/>
    </row>
    <row r="417" spans="18:18" ht="15.75" customHeight="1">
      <c r="R417" s="33"/>
    </row>
    <row r="418" spans="18:18" ht="15.75" customHeight="1">
      <c r="R418" s="33"/>
    </row>
    <row r="419" spans="18:18" ht="15.75" customHeight="1">
      <c r="R419" s="33"/>
    </row>
    <row r="420" spans="18:18" ht="15.75" customHeight="1">
      <c r="R420" s="33"/>
    </row>
    <row r="421" spans="18:18" ht="15.75" customHeight="1">
      <c r="R421" s="33"/>
    </row>
    <row r="422" spans="18:18" ht="15.75" customHeight="1">
      <c r="R422" s="33"/>
    </row>
    <row r="423" spans="18:18" ht="15.75" customHeight="1">
      <c r="R423" s="33"/>
    </row>
    <row r="424" spans="18:18" ht="15.75" customHeight="1">
      <c r="R424" s="33"/>
    </row>
    <row r="425" spans="18:18" ht="15.75" customHeight="1">
      <c r="R425" s="33"/>
    </row>
    <row r="426" spans="18:18" ht="15.75" customHeight="1">
      <c r="R426" s="33"/>
    </row>
    <row r="427" spans="18:18" ht="15.75" customHeight="1">
      <c r="R427" s="33"/>
    </row>
    <row r="428" spans="18:18" ht="15.75" customHeight="1">
      <c r="R428" s="33"/>
    </row>
    <row r="429" spans="18:18" ht="15.75" customHeight="1">
      <c r="R429" s="33"/>
    </row>
    <row r="430" spans="18:18" ht="15.75" customHeight="1">
      <c r="R430" s="33"/>
    </row>
    <row r="431" spans="18:18" ht="15.75" customHeight="1">
      <c r="R431" s="33"/>
    </row>
    <row r="432" spans="18:18" ht="15.75" customHeight="1">
      <c r="R432" s="33"/>
    </row>
    <row r="433" spans="18:18" ht="15.75" customHeight="1">
      <c r="R433" s="33"/>
    </row>
    <row r="434" spans="18:18" ht="15.75" customHeight="1">
      <c r="R434" s="33"/>
    </row>
    <row r="435" spans="18:18" ht="15.75" customHeight="1">
      <c r="R435" s="33"/>
    </row>
    <row r="436" spans="18:18" ht="15.75" customHeight="1">
      <c r="R436" s="33"/>
    </row>
    <row r="437" spans="18:18" ht="15.75" customHeight="1">
      <c r="R437" s="33"/>
    </row>
    <row r="438" spans="18:18" ht="15.75" customHeight="1">
      <c r="R438" s="33"/>
    </row>
    <row r="439" spans="18:18" ht="15.75" customHeight="1">
      <c r="R439" s="33"/>
    </row>
    <row r="440" spans="18:18" ht="15.75" customHeight="1">
      <c r="R440" s="33"/>
    </row>
    <row r="441" spans="18:18" ht="15.75" customHeight="1">
      <c r="R441" s="33"/>
    </row>
    <row r="442" spans="18:18" ht="15.75" customHeight="1">
      <c r="R442" s="33"/>
    </row>
    <row r="443" spans="18:18" ht="15.75" customHeight="1">
      <c r="R443" s="33"/>
    </row>
    <row r="444" spans="18:18" ht="15.75" customHeight="1">
      <c r="R444" s="33"/>
    </row>
    <row r="445" spans="18:18" ht="15.75" customHeight="1">
      <c r="R445" s="33"/>
    </row>
    <row r="446" spans="18:18" ht="15.75" customHeight="1">
      <c r="R446" s="33"/>
    </row>
    <row r="447" spans="18:18" ht="15.75" customHeight="1">
      <c r="R447" s="33"/>
    </row>
    <row r="448" spans="18:18" ht="15.75" customHeight="1">
      <c r="R448" s="33"/>
    </row>
    <row r="449" spans="18:18" ht="15.75" customHeight="1">
      <c r="R449" s="33"/>
    </row>
    <row r="450" spans="18:18" ht="15.75" customHeight="1">
      <c r="R450" s="33"/>
    </row>
    <row r="451" spans="18:18" ht="15.75" customHeight="1">
      <c r="R451" s="33"/>
    </row>
    <row r="452" spans="18:18" ht="15.75" customHeight="1">
      <c r="R452" s="33"/>
    </row>
    <row r="453" spans="18:18" ht="15.75" customHeight="1">
      <c r="R453" s="33"/>
    </row>
    <row r="454" spans="18:18" ht="15.75" customHeight="1">
      <c r="R454" s="33"/>
    </row>
    <row r="455" spans="18:18" ht="15.75" customHeight="1">
      <c r="R455" s="33"/>
    </row>
    <row r="456" spans="18:18" ht="15.75" customHeight="1">
      <c r="R456" s="33"/>
    </row>
    <row r="457" spans="18:18" ht="15.75" customHeight="1">
      <c r="R457" s="33"/>
    </row>
    <row r="458" spans="18:18" ht="15.75" customHeight="1">
      <c r="R458" s="33"/>
    </row>
    <row r="459" spans="18:18" ht="15.75" customHeight="1">
      <c r="R459" s="33"/>
    </row>
    <row r="460" spans="18:18" ht="15.75" customHeight="1">
      <c r="R460" s="33"/>
    </row>
    <row r="461" spans="18:18" ht="15.75" customHeight="1">
      <c r="R461" s="33"/>
    </row>
    <row r="462" spans="18:18" ht="15.75" customHeight="1">
      <c r="R462" s="33"/>
    </row>
    <row r="463" spans="18:18" ht="15.75" customHeight="1">
      <c r="R463" s="33"/>
    </row>
    <row r="464" spans="18:18" ht="15.75" customHeight="1">
      <c r="R464" s="33"/>
    </row>
    <row r="465" spans="18:18" ht="15.75" customHeight="1">
      <c r="R465" s="33"/>
    </row>
    <row r="466" spans="18:18" ht="15.75" customHeight="1">
      <c r="R466" s="33"/>
    </row>
    <row r="467" spans="18:18" ht="15.75" customHeight="1">
      <c r="R467" s="33"/>
    </row>
    <row r="468" spans="18:18" ht="15.75" customHeight="1">
      <c r="R468" s="33"/>
    </row>
    <row r="469" spans="18:18" ht="15.75" customHeight="1">
      <c r="R469" s="33"/>
    </row>
    <row r="470" spans="18:18" ht="15.75" customHeight="1">
      <c r="R470" s="33"/>
    </row>
    <row r="471" spans="18:18" ht="15.75" customHeight="1">
      <c r="R471" s="33"/>
    </row>
    <row r="472" spans="18:18" ht="15.75" customHeight="1">
      <c r="R472" s="33"/>
    </row>
    <row r="473" spans="18:18" ht="15.75" customHeight="1">
      <c r="R473" s="33"/>
    </row>
    <row r="474" spans="18:18" ht="15.75" customHeight="1">
      <c r="R474" s="33"/>
    </row>
    <row r="475" spans="18:18" ht="15.75" customHeight="1">
      <c r="R475" s="33"/>
    </row>
    <row r="476" spans="18:18" ht="15.75" customHeight="1">
      <c r="R476" s="33"/>
    </row>
    <row r="477" spans="18:18" ht="15.75" customHeight="1">
      <c r="R477" s="33"/>
    </row>
    <row r="478" spans="18:18" ht="15.75" customHeight="1">
      <c r="R478" s="33"/>
    </row>
    <row r="479" spans="18:18" ht="15.75" customHeight="1">
      <c r="R479" s="33"/>
    </row>
    <row r="480" spans="18:18" ht="15.75" customHeight="1">
      <c r="R480" s="33"/>
    </row>
    <row r="481" spans="18:18" ht="15.75" customHeight="1">
      <c r="R481" s="33"/>
    </row>
    <row r="482" spans="18:18" ht="15.75" customHeight="1">
      <c r="R482" s="33"/>
    </row>
    <row r="483" spans="18:18" ht="15.75" customHeight="1">
      <c r="R483" s="33"/>
    </row>
    <row r="484" spans="18:18" ht="15.75" customHeight="1">
      <c r="R484" s="33"/>
    </row>
    <row r="485" spans="18:18" ht="15.75" customHeight="1">
      <c r="R485" s="33"/>
    </row>
    <row r="486" spans="18:18" ht="15.75" customHeight="1">
      <c r="R486" s="33"/>
    </row>
    <row r="487" spans="18:18" ht="15.75" customHeight="1">
      <c r="R487" s="33"/>
    </row>
    <row r="488" spans="18:18" ht="15.75" customHeight="1">
      <c r="R488" s="33"/>
    </row>
    <row r="489" spans="18:18" ht="15.75" customHeight="1">
      <c r="R489" s="33"/>
    </row>
    <row r="490" spans="18:18" ht="15.75" customHeight="1">
      <c r="R490" s="33"/>
    </row>
    <row r="491" spans="18:18" ht="15.75" customHeight="1">
      <c r="R491" s="33"/>
    </row>
    <row r="492" spans="18:18" ht="15.75" customHeight="1">
      <c r="R492" s="33"/>
    </row>
    <row r="493" spans="18:18" ht="15.75" customHeight="1">
      <c r="R493" s="33"/>
    </row>
    <row r="494" spans="18:18" ht="15.75" customHeight="1">
      <c r="R494" s="33"/>
    </row>
    <row r="495" spans="18:18" ht="15.75" customHeight="1">
      <c r="R495" s="33"/>
    </row>
    <row r="496" spans="18:18" ht="15.75" customHeight="1">
      <c r="R496" s="33"/>
    </row>
    <row r="497" spans="18:18" ht="15.75" customHeight="1">
      <c r="R497" s="33"/>
    </row>
    <row r="498" spans="18:18" ht="15.75" customHeight="1">
      <c r="R498" s="33"/>
    </row>
    <row r="499" spans="18:18" ht="15.75" customHeight="1">
      <c r="R499" s="33"/>
    </row>
    <row r="500" spans="18:18" ht="15.75" customHeight="1">
      <c r="R500" s="33"/>
    </row>
    <row r="501" spans="18:18" ht="15.75" customHeight="1">
      <c r="R501" s="33"/>
    </row>
    <row r="502" spans="18:18" ht="15.75" customHeight="1">
      <c r="R502" s="33"/>
    </row>
    <row r="503" spans="18:18" ht="15.75" customHeight="1">
      <c r="R503" s="33"/>
    </row>
    <row r="504" spans="18:18" ht="15.75" customHeight="1">
      <c r="R504" s="33"/>
    </row>
    <row r="505" spans="18:18" ht="15.75" customHeight="1">
      <c r="R505" s="33"/>
    </row>
    <row r="506" spans="18:18" ht="15.75" customHeight="1">
      <c r="R506" s="33"/>
    </row>
    <row r="507" spans="18:18" ht="15.75" customHeight="1">
      <c r="R507" s="33"/>
    </row>
    <row r="508" spans="18:18" ht="15.75" customHeight="1">
      <c r="R508" s="33"/>
    </row>
    <row r="509" spans="18:18" ht="15.75" customHeight="1">
      <c r="R509" s="33"/>
    </row>
    <row r="510" spans="18:18" ht="15.75" customHeight="1">
      <c r="R510" s="33"/>
    </row>
    <row r="511" spans="18:18" ht="15.75" customHeight="1">
      <c r="R511" s="33"/>
    </row>
    <row r="512" spans="18:18" ht="15.75" customHeight="1">
      <c r="R512" s="33"/>
    </row>
    <row r="513" spans="18:18" ht="15.75" customHeight="1">
      <c r="R513" s="33"/>
    </row>
    <row r="514" spans="18:18" ht="15.75" customHeight="1">
      <c r="R514" s="33"/>
    </row>
    <row r="515" spans="18:18" ht="15.75" customHeight="1">
      <c r="R515" s="33"/>
    </row>
    <row r="516" spans="18:18" ht="15.75" customHeight="1">
      <c r="R516" s="33"/>
    </row>
    <row r="517" spans="18:18" ht="15.75" customHeight="1">
      <c r="R517" s="33"/>
    </row>
    <row r="518" spans="18:18" ht="15.75" customHeight="1">
      <c r="R518" s="33"/>
    </row>
    <row r="519" spans="18:18" ht="15.75" customHeight="1">
      <c r="R519" s="33"/>
    </row>
    <row r="520" spans="18:18" ht="15.75" customHeight="1">
      <c r="R520" s="33"/>
    </row>
    <row r="521" spans="18:18" ht="15.75" customHeight="1">
      <c r="R521" s="33"/>
    </row>
    <row r="522" spans="18:18" ht="15.75" customHeight="1">
      <c r="R522" s="33"/>
    </row>
    <row r="523" spans="18:18" ht="15.75" customHeight="1">
      <c r="R523" s="33"/>
    </row>
    <row r="524" spans="18:18" ht="15.75" customHeight="1">
      <c r="R524" s="33"/>
    </row>
    <row r="525" spans="18:18" ht="15.75" customHeight="1">
      <c r="R525" s="33"/>
    </row>
    <row r="526" spans="18:18" ht="15.75" customHeight="1">
      <c r="R526" s="33"/>
    </row>
    <row r="527" spans="18:18" ht="15.75" customHeight="1">
      <c r="R527" s="33"/>
    </row>
    <row r="528" spans="18:18" ht="15.75" customHeight="1">
      <c r="R528" s="33"/>
    </row>
    <row r="529" spans="18:18" ht="15.75" customHeight="1">
      <c r="R529" s="33"/>
    </row>
    <row r="530" spans="18:18" ht="15.75" customHeight="1">
      <c r="R530" s="33"/>
    </row>
    <row r="531" spans="18:18" ht="15.75" customHeight="1">
      <c r="R531" s="33"/>
    </row>
    <row r="532" spans="18:18" ht="15.75" customHeight="1">
      <c r="R532" s="33"/>
    </row>
    <row r="533" spans="18:18" ht="15.75" customHeight="1">
      <c r="R533" s="33"/>
    </row>
    <row r="534" spans="18:18" ht="15.75" customHeight="1">
      <c r="R534" s="33"/>
    </row>
    <row r="535" spans="18:18" ht="15.75" customHeight="1">
      <c r="R535" s="33"/>
    </row>
    <row r="536" spans="18:18" ht="15.75" customHeight="1">
      <c r="R536" s="33"/>
    </row>
    <row r="537" spans="18:18" ht="15.75" customHeight="1">
      <c r="R537" s="33"/>
    </row>
    <row r="538" spans="18:18" ht="15.75" customHeight="1">
      <c r="R538" s="33"/>
    </row>
    <row r="539" spans="18:18" ht="15.75" customHeight="1">
      <c r="R539" s="33"/>
    </row>
    <row r="540" spans="18:18" ht="15.75" customHeight="1">
      <c r="R540" s="33"/>
    </row>
    <row r="541" spans="18:18" ht="15.75" customHeight="1">
      <c r="R541" s="33"/>
    </row>
    <row r="542" spans="18:18" ht="15.75" customHeight="1">
      <c r="R542" s="33"/>
    </row>
    <row r="543" spans="18:18" ht="15.75" customHeight="1">
      <c r="R543" s="33"/>
    </row>
    <row r="544" spans="18:18" ht="15.75" customHeight="1">
      <c r="R544" s="33"/>
    </row>
    <row r="545" spans="18:18" ht="15.75" customHeight="1">
      <c r="R545" s="33"/>
    </row>
    <row r="546" spans="18:18" ht="15.75" customHeight="1">
      <c r="R546" s="33"/>
    </row>
    <row r="547" spans="18:18" ht="15.75" customHeight="1">
      <c r="R547" s="33"/>
    </row>
    <row r="548" spans="18:18" ht="15.75" customHeight="1">
      <c r="R548" s="33"/>
    </row>
    <row r="549" spans="18:18" ht="15.75" customHeight="1">
      <c r="R549" s="33"/>
    </row>
    <row r="550" spans="18:18" ht="15.75" customHeight="1">
      <c r="R550" s="33"/>
    </row>
    <row r="551" spans="18:18" ht="15.75" customHeight="1">
      <c r="R551" s="33"/>
    </row>
    <row r="552" spans="18:18" ht="15.75" customHeight="1">
      <c r="R552" s="33"/>
    </row>
    <row r="553" spans="18:18" ht="15.75" customHeight="1">
      <c r="R553" s="33"/>
    </row>
    <row r="554" spans="18:18" ht="15.75" customHeight="1">
      <c r="R554" s="33"/>
    </row>
    <row r="555" spans="18:18" ht="15.75" customHeight="1">
      <c r="R555" s="33"/>
    </row>
    <row r="556" spans="18:18" ht="15.75" customHeight="1">
      <c r="R556" s="33"/>
    </row>
    <row r="557" spans="18:18" ht="15.75" customHeight="1">
      <c r="R557" s="33"/>
    </row>
    <row r="558" spans="18:18" ht="15.75" customHeight="1">
      <c r="R558" s="33"/>
    </row>
    <row r="559" spans="18:18" ht="15.75" customHeight="1">
      <c r="R559" s="33"/>
    </row>
    <row r="560" spans="18:18" ht="15.75" customHeight="1">
      <c r="R560" s="33"/>
    </row>
    <row r="561" spans="18:18" ht="15.75" customHeight="1">
      <c r="R561" s="33"/>
    </row>
    <row r="562" spans="18:18" ht="15.75" customHeight="1">
      <c r="R562" s="33"/>
    </row>
    <row r="563" spans="18:18" ht="15.75" customHeight="1">
      <c r="R563" s="33"/>
    </row>
    <row r="564" spans="18:18" ht="15.75" customHeight="1">
      <c r="R564" s="33"/>
    </row>
    <row r="565" spans="18:18" ht="15.75" customHeight="1">
      <c r="R565" s="33"/>
    </row>
    <row r="566" spans="18:18" ht="15.75" customHeight="1">
      <c r="R566" s="33"/>
    </row>
    <row r="567" spans="18:18" ht="15.75" customHeight="1">
      <c r="R567" s="33"/>
    </row>
    <row r="568" spans="18:18" ht="15.75" customHeight="1">
      <c r="R568" s="33"/>
    </row>
    <row r="569" spans="18:18" ht="15.75" customHeight="1">
      <c r="R569" s="33"/>
    </row>
    <row r="570" spans="18:18" ht="15.75" customHeight="1">
      <c r="R570" s="33"/>
    </row>
    <row r="571" spans="18:18" ht="15.75" customHeight="1">
      <c r="R571" s="33"/>
    </row>
    <row r="572" spans="18:18" ht="15.75" customHeight="1">
      <c r="R572" s="33"/>
    </row>
    <row r="573" spans="18:18" ht="15.75" customHeight="1">
      <c r="R573" s="33"/>
    </row>
    <row r="574" spans="18:18" ht="15.75" customHeight="1">
      <c r="R574" s="33"/>
    </row>
    <row r="575" spans="18:18" ht="15.75" customHeight="1">
      <c r="R575" s="33"/>
    </row>
    <row r="576" spans="18:18" ht="15.75" customHeight="1">
      <c r="R576" s="33"/>
    </row>
    <row r="577" spans="18:18" ht="15.75" customHeight="1">
      <c r="R577" s="33"/>
    </row>
    <row r="578" spans="18:18" ht="15.75" customHeight="1">
      <c r="R578" s="33"/>
    </row>
    <row r="579" spans="18:18" ht="15.75" customHeight="1">
      <c r="R579" s="33"/>
    </row>
    <row r="580" spans="18:18" ht="15.75" customHeight="1">
      <c r="R580" s="33"/>
    </row>
    <row r="581" spans="18:18" ht="15.75" customHeight="1">
      <c r="R581" s="33"/>
    </row>
    <row r="582" spans="18:18" ht="15.75" customHeight="1">
      <c r="R582" s="33"/>
    </row>
    <row r="583" spans="18:18" ht="15.75" customHeight="1">
      <c r="R583" s="33"/>
    </row>
    <row r="584" spans="18:18" ht="15.75" customHeight="1">
      <c r="R584" s="33"/>
    </row>
    <row r="585" spans="18:18" ht="15.75" customHeight="1">
      <c r="R585" s="33"/>
    </row>
    <row r="586" spans="18:18" ht="15.75" customHeight="1">
      <c r="R586" s="33"/>
    </row>
    <row r="587" spans="18:18" ht="15.75" customHeight="1">
      <c r="R587" s="33"/>
    </row>
    <row r="588" spans="18:18" ht="15.75" customHeight="1">
      <c r="R588" s="33"/>
    </row>
    <row r="589" spans="18:18" ht="15.75" customHeight="1">
      <c r="R589" s="33"/>
    </row>
    <row r="590" spans="18:18" ht="15.75" customHeight="1">
      <c r="R590" s="33"/>
    </row>
    <row r="591" spans="18:18" ht="15.75" customHeight="1">
      <c r="R591" s="33"/>
    </row>
    <row r="592" spans="18:18" ht="15.75" customHeight="1">
      <c r="R592" s="33"/>
    </row>
    <row r="593" spans="18:18" ht="15.75" customHeight="1">
      <c r="R593" s="33"/>
    </row>
    <row r="594" spans="18:18" ht="15.75" customHeight="1">
      <c r="R594" s="33"/>
    </row>
    <row r="595" spans="18:18" ht="15.75" customHeight="1">
      <c r="R595" s="33"/>
    </row>
    <row r="596" spans="18:18" ht="15.75" customHeight="1">
      <c r="R596" s="33"/>
    </row>
    <row r="597" spans="18:18" ht="15.75" customHeight="1">
      <c r="R597" s="33"/>
    </row>
    <row r="598" spans="18:18" ht="15.75" customHeight="1">
      <c r="R598" s="33"/>
    </row>
    <row r="599" spans="18:18" ht="15.75" customHeight="1">
      <c r="R599" s="33"/>
    </row>
    <row r="600" spans="18:18" ht="15.75" customHeight="1">
      <c r="R600" s="33"/>
    </row>
    <row r="601" spans="18:18" ht="15.75" customHeight="1">
      <c r="R601" s="33"/>
    </row>
    <row r="602" spans="18:18" ht="15.75" customHeight="1">
      <c r="R602" s="33"/>
    </row>
    <row r="603" spans="18:18" ht="15.75" customHeight="1">
      <c r="R603" s="33"/>
    </row>
    <row r="604" spans="18:18" ht="15.75" customHeight="1">
      <c r="R604" s="33"/>
    </row>
    <row r="605" spans="18:18" ht="15.75" customHeight="1">
      <c r="R605" s="33"/>
    </row>
    <row r="606" spans="18:18" ht="15.75" customHeight="1">
      <c r="R606" s="33"/>
    </row>
    <row r="607" spans="18:18" ht="15.75" customHeight="1">
      <c r="R607" s="33"/>
    </row>
    <row r="608" spans="18:18" ht="15.75" customHeight="1">
      <c r="R608" s="33"/>
    </row>
    <row r="609" spans="18:18" ht="15.75" customHeight="1">
      <c r="R609" s="33"/>
    </row>
    <row r="610" spans="18:18" ht="15.75" customHeight="1">
      <c r="R610" s="33"/>
    </row>
    <row r="611" spans="18:18" ht="15.75" customHeight="1">
      <c r="R611" s="33"/>
    </row>
    <row r="612" spans="18:18" ht="15.75" customHeight="1">
      <c r="R612" s="33"/>
    </row>
    <row r="613" spans="18:18" ht="15.75" customHeight="1">
      <c r="R613" s="33"/>
    </row>
    <row r="614" spans="18:18" ht="15.75" customHeight="1">
      <c r="R614" s="33"/>
    </row>
    <row r="615" spans="18:18" ht="15.75" customHeight="1">
      <c r="R615" s="33"/>
    </row>
    <row r="616" spans="18:18" ht="15.75" customHeight="1">
      <c r="R616" s="33"/>
    </row>
    <row r="617" spans="18:18" ht="15.75" customHeight="1">
      <c r="R617" s="33"/>
    </row>
    <row r="618" spans="18:18" ht="15.75" customHeight="1">
      <c r="R618" s="33"/>
    </row>
    <row r="619" spans="18:18" ht="15.75" customHeight="1">
      <c r="R619" s="33"/>
    </row>
    <row r="620" spans="18:18" ht="15.75" customHeight="1">
      <c r="R620" s="33"/>
    </row>
    <row r="621" spans="18:18" ht="15.75" customHeight="1">
      <c r="R621" s="33"/>
    </row>
    <row r="622" spans="18:18" ht="15.75" customHeight="1">
      <c r="R622" s="33"/>
    </row>
    <row r="623" spans="18:18" ht="15.75" customHeight="1">
      <c r="R623" s="33"/>
    </row>
    <row r="624" spans="18:18" ht="15.75" customHeight="1">
      <c r="R624" s="33"/>
    </row>
    <row r="625" spans="18:18" ht="15.75" customHeight="1">
      <c r="R625" s="33"/>
    </row>
    <row r="626" spans="18:18" ht="15.75" customHeight="1">
      <c r="R626" s="33"/>
    </row>
    <row r="627" spans="18:18" ht="15.75" customHeight="1">
      <c r="R627" s="33"/>
    </row>
    <row r="628" spans="18:18" ht="15.75" customHeight="1">
      <c r="R628" s="33"/>
    </row>
    <row r="629" spans="18:18" ht="15.75" customHeight="1">
      <c r="R629" s="33"/>
    </row>
    <row r="630" spans="18:18" ht="15.75" customHeight="1">
      <c r="R630" s="33"/>
    </row>
    <row r="631" spans="18:18" ht="15.75" customHeight="1">
      <c r="R631" s="33"/>
    </row>
    <row r="632" spans="18:18" ht="15.75" customHeight="1">
      <c r="R632" s="33"/>
    </row>
    <row r="633" spans="18:18" ht="15.75" customHeight="1">
      <c r="R633" s="33"/>
    </row>
    <row r="634" spans="18:18" ht="15.75" customHeight="1">
      <c r="R634" s="33"/>
    </row>
    <row r="635" spans="18:18" ht="15.75" customHeight="1">
      <c r="R635" s="33"/>
    </row>
    <row r="636" spans="18:18" ht="15.75" customHeight="1">
      <c r="R636" s="33"/>
    </row>
    <row r="637" spans="18:18" ht="15.75" customHeight="1">
      <c r="R637" s="33"/>
    </row>
    <row r="638" spans="18:18" ht="15.75" customHeight="1">
      <c r="R638" s="33"/>
    </row>
    <row r="639" spans="18:18" ht="15.75" customHeight="1">
      <c r="R639" s="33"/>
    </row>
    <row r="640" spans="18:18" ht="15.75" customHeight="1">
      <c r="R640" s="33"/>
    </row>
    <row r="641" spans="18:18" ht="15.75" customHeight="1">
      <c r="R641" s="33"/>
    </row>
    <row r="642" spans="18:18" ht="15.75" customHeight="1">
      <c r="R642" s="33"/>
    </row>
    <row r="643" spans="18:18" ht="15.75" customHeight="1">
      <c r="R643" s="33"/>
    </row>
    <row r="644" spans="18:18" ht="15.75" customHeight="1">
      <c r="R644" s="33"/>
    </row>
    <row r="645" spans="18:18" ht="15.75" customHeight="1">
      <c r="R645" s="33"/>
    </row>
    <row r="646" spans="18:18" ht="15.75" customHeight="1">
      <c r="R646" s="33"/>
    </row>
    <row r="647" spans="18:18" ht="15.75" customHeight="1">
      <c r="R647" s="33"/>
    </row>
    <row r="648" spans="18:18" ht="15.75" customHeight="1">
      <c r="R648" s="33"/>
    </row>
    <row r="649" spans="18:18" ht="15.75" customHeight="1">
      <c r="R649" s="33"/>
    </row>
    <row r="650" spans="18:18" ht="15.75" customHeight="1">
      <c r="R650" s="33"/>
    </row>
    <row r="651" spans="18:18" ht="15.75" customHeight="1">
      <c r="R651" s="33"/>
    </row>
    <row r="652" spans="18:18" ht="15.75" customHeight="1">
      <c r="R652" s="33"/>
    </row>
    <row r="653" spans="18:18" ht="15.75" customHeight="1">
      <c r="R653" s="33"/>
    </row>
    <row r="654" spans="18:18" ht="15.75" customHeight="1">
      <c r="R654" s="33"/>
    </row>
    <row r="655" spans="18:18" ht="15.75" customHeight="1">
      <c r="R655" s="33"/>
    </row>
    <row r="656" spans="18:18" ht="15.75" customHeight="1">
      <c r="R656" s="33"/>
    </row>
    <row r="657" spans="18:18" ht="15.75" customHeight="1">
      <c r="R657" s="33"/>
    </row>
    <row r="658" spans="18:18" ht="15.75" customHeight="1">
      <c r="R658" s="33"/>
    </row>
    <row r="659" spans="18:18" ht="15.75" customHeight="1">
      <c r="R659" s="33"/>
    </row>
    <row r="660" spans="18:18" ht="15.75" customHeight="1">
      <c r="R660" s="33"/>
    </row>
    <row r="661" spans="18:18" ht="15.75" customHeight="1">
      <c r="R661" s="33"/>
    </row>
    <row r="662" spans="18:18" ht="15.75" customHeight="1">
      <c r="R662" s="33"/>
    </row>
    <row r="663" spans="18:18" ht="15.75" customHeight="1">
      <c r="R663" s="33"/>
    </row>
    <row r="664" spans="18:18" ht="15.75" customHeight="1">
      <c r="R664" s="33"/>
    </row>
    <row r="665" spans="18:18" ht="15.75" customHeight="1">
      <c r="R665" s="33"/>
    </row>
    <row r="666" spans="18:18" ht="15.75" customHeight="1">
      <c r="R666" s="33"/>
    </row>
    <row r="667" spans="18:18" ht="15.75" customHeight="1">
      <c r="R667" s="33"/>
    </row>
    <row r="668" spans="18:18" ht="15.75" customHeight="1">
      <c r="R668" s="33"/>
    </row>
    <row r="669" spans="18:18" ht="15.75" customHeight="1">
      <c r="R669" s="33"/>
    </row>
    <row r="670" spans="18:18" ht="15.75" customHeight="1">
      <c r="R670" s="33"/>
    </row>
    <row r="671" spans="18:18" ht="15.75" customHeight="1">
      <c r="R671" s="33"/>
    </row>
    <row r="672" spans="18:18" ht="15.75" customHeight="1">
      <c r="R672" s="33"/>
    </row>
    <row r="673" spans="18:18" ht="15.75" customHeight="1">
      <c r="R673" s="33"/>
    </row>
    <row r="674" spans="18:18" ht="15.75" customHeight="1">
      <c r="R674" s="33"/>
    </row>
    <row r="675" spans="18:18" ht="15.75" customHeight="1">
      <c r="R675" s="33"/>
    </row>
    <row r="676" spans="18:18" ht="15.75" customHeight="1">
      <c r="R676" s="33"/>
    </row>
    <row r="677" spans="18:18" ht="15.75" customHeight="1">
      <c r="R677" s="33"/>
    </row>
    <row r="678" spans="18:18" ht="15.75" customHeight="1">
      <c r="R678" s="33"/>
    </row>
    <row r="679" spans="18:18" ht="15.75" customHeight="1">
      <c r="R679" s="33"/>
    </row>
    <row r="680" spans="18:18" ht="15.75" customHeight="1">
      <c r="R680" s="33"/>
    </row>
    <row r="681" spans="18:18" ht="15.75" customHeight="1">
      <c r="R681" s="33"/>
    </row>
    <row r="682" spans="18:18" ht="15.75" customHeight="1">
      <c r="R682" s="33"/>
    </row>
    <row r="683" spans="18:18" ht="15.75" customHeight="1">
      <c r="R683" s="33"/>
    </row>
    <row r="684" spans="18:18" ht="15.75" customHeight="1">
      <c r="R684" s="33"/>
    </row>
    <row r="685" spans="18:18" ht="15.75" customHeight="1">
      <c r="R685" s="33"/>
    </row>
    <row r="686" spans="18:18" ht="15.75" customHeight="1">
      <c r="R686" s="33"/>
    </row>
    <row r="687" spans="18:18" ht="15.75" customHeight="1">
      <c r="R687" s="33"/>
    </row>
    <row r="688" spans="18:18" ht="15.75" customHeight="1">
      <c r="R688" s="33"/>
    </row>
    <row r="689" spans="18:18" ht="15.75" customHeight="1">
      <c r="R689" s="33"/>
    </row>
    <row r="690" spans="18:18" ht="15.75" customHeight="1">
      <c r="R690" s="33"/>
    </row>
    <row r="691" spans="18:18" ht="15.75" customHeight="1">
      <c r="R691" s="33"/>
    </row>
    <row r="692" spans="18:18" ht="15.75" customHeight="1">
      <c r="R692" s="33"/>
    </row>
    <row r="693" spans="18:18" ht="15.75" customHeight="1">
      <c r="R693" s="33"/>
    </row>
    <row r="694" spans="18:18" ht="15.75" customHeight="1">
      <c r="R694" s="33"/>
    </row>
    <row r="695" spans="18:18" ht="15.75" customHeight="1">
      <c r="R695" s="33"/>
    </row>
    <row r="696" spans="18:18" ht="15.75" customHeight="1">
      <c r="R696" s="33"/>
    </row>
    <row r="697" spans="18:18" ht="15.75" customHeight="1">
      <c r="R697" s="33"/>
    </row>
    <row r="698" spans="18:18" ht="15.75" customHeight="1">
      <c r="R698" s="33"/>
    </row>
    <row r="699" spans="18:18" ht="15.75" customHeight="1">
      <c r="R699" s="33"/>
    </row>
    <row r="700" spans="18:18" ht="15.75" customHeight="1">
      <c r="R700" s="33"/>
    </row>
    <row r="701" spans="18:18" ht="15.75" customHeight="1">
      <c r="R701" s="33"/>
    </row>
    <row r="702" spans="18:18" ht="15.75" customHeight="1">
      <c r="R702" s="33"/>
    </row>
    <row r="703" spans="18:18" ht="15.75" customHeight="1">
      <c r="R703" s="33"/>
    </row>
    <row r="704" spans="18:18" ht="15.75" customHeight="1">
      <c r="R704" s="33"/>
    </row>
    <row r="705" spans="18:18" ht="15.75" customHeight="1">
      <c r="R705" s="33"/>
    </row>
    <row r="706" spans="18:18" ht="15.75" customHeight="1">
      <c r="R706" s="33"/>
    </row>
    <row r="707" spans="18:18" ht="15.75" customHeight="1">
      <c r="R707" s="33"/>
    </row>
    <row r="708" spans="18:18" ht="15.75" customHeight="1">
      <c r="R708" s="33"/>
    </row>
    <row r="709" spans="18:18" ht="15.75" customHeight="1">
      <c r="R709" s="33"/>
    </row>
    <row r="710" spans="18:18" ht="15.75" customHeight="1">
      <c r="R710" s="33"/>
    </row>
    <row r="711" spans="18:18" ht="15.75" customHeight="1">
      <c r="R711" s="33"/>
    </row>
    <row r="712" spans="18:18" ht="15.75" customHeight="1">
      <c r="R712" s="33"/>
    </row>
    <row r="713" spans="18:18" ht="15.75" customHeight="1">
      <c r="R713" s="33"/>
    </row>
    <row r="714" spans="18:18" ht="15.75" customHeight="1">
      <c r="R714" s="33"/>
    </row>
    <row r="715" spans="18:18" ht="15.75" customHeight="1">
      <c r="R715" s="33"/>
    </row>
    <row r="716" spans="18:18" ht="15.75" customHeight="1">
      <c r="R716" s="33"/>
    </row>
    <row r="717" spans="18:18" ht="15.75" customHeight="1">
      <c r="R717" s="33"/>
    </row>
    <row r="718" spans="18:18" ht="15.75" customHeight="1">
      <c r="R718" s="33"/>
    </row>
    <row r="719" spans="18:18" ht="15.75" customHeight="1">
      <c r="R719" s="33"/>
    </row>
    <row r="720" spans="18:18" ht="15.75" customHeight="1">
      <c r="R720" s="33"/>
    </row>
    <row r="721" spans="18:18" ht="15.75" customHeight="1">
      <c r="R721" s="33"/>
    </row>
    <row r="722" spans="18:18" ht="15.75" customHeight="1">
      <c r="R722" s="33"/>
    </row>
    <row r="723" spans="18:18" ht="15.75" customHeight="1">
      <c r="R723" s="33"/>
    </row>
    <row r="724" spans="18:18" ht="15.75" customHeight="1">
      <c r="R724" s="33"/>
    </row>
    <row r="725" spans="18:18" ht="15.75" customHeight="1">
      <c r="R725" s="33"/>
    </row>
    <row r="726" spans="18:18" ht="15.75" customHeight="1">
      <c r="R726" s="33"/>
    </row>
    <row r="727" spans="18:18" ht="15.75" customHeight="1">
      <c r="R727" s="33"/>
    </row>
    <row r="728" spans="18:18" ht="15.75" customHeight="1">
      <c r="R728" s="33"/>
    </row>
    <row r="729" spans="18:18" ht="15.75" customHeight="1">
      <c r="R729" s="33"/>
    </row>
    <row r="730" spans="18:18" ht="15.75" customHeight="1">
      <c r="R730" s="33"/>
    </row>
    <row r="731" spans="18:18" ht="15.75" customHeight="1">
      <c r="R731" s="33"/>
    </row>
    <row r="732" spans="18:18" ht="15.75" customHeight="1">
      <c r="R732" s="33"/>
    </row>
    <row r="733" spans="18:18" ht="15.75" customHeight="1">
      <c r="R733" s="33"/>
    </row>
    <row r="734" spans="18:18" ht="15.75" customHeight="1">
      <c r="R734" s="33"/>
    </row>
    <row r="735" spans="18:18" ht="15.75" customHeight="1">
      <c r="R735" s="33"/>
    </row>
    <row r="736" spans="18:18" ht="15.75" customHeight="1">
      <c r="R736" s="33"/>
    </row>
    <row r="737" spans="18:18" ht="15.75" customHeight="1">
      <c r="R737" s="33"/>
    </row>
    <row r="738" spans="18:18" ht="15.75" customHeight="1">
      <c r="R738" s="33"/>
    </row>
    <row r="739" spans="18:18" ht="15.75" customHeight="1">
      <c r="R739" s="33"/>
    </row>
    <row r="740" spans="18:18" ht="15.75" customHeight="1">
      <c r="R740" s="33"/>
    </row>
    <row r="741" spans="18:18" ht="15.75" customHeight="1">
      <c r="R741" s="33"/>
    </row>
    <row r="742" spans="18:18" ht="15.75" customHeight="1">
      <c r="R742" s="33"/>
    </row>
    <row r="743" spans="18:18" ht="15.75" customHeight="1">
      <c r="R743" s="33"/>
    </row>
    <row r="744" spans="18:18" ht="15.75" customHeight="1">
      <c r="R744" s="33"/>
    </row>
    <row r="745" spans="18:18" ht="15.75" customHeight="1">
      <c r="R745" s="33"/>
    </row>
    <row r="746" spans="18:18" ht="15.75" customHeight="1">
      <c r="R746" s="33"/>
    </row>
    <row r="747" spans="18:18" ht="15.75" customHeight="1">
      <c r="R747" s="33"/>
    </row>
    <row r="748" spans="18:18" ht="15.75" customHeight="1">
      <c r="R748" s="33"/>
    </row>
    <row r="749" spans="18:18" ht="15.75" customHeight="1">
      <c r="R749" s="33"/>
    </row>
    <row r="750" spans="18:18" ht="15.75" customHeight="1">
      <c r="R750" s="33"/>
    </row>
    <row r="751" spans="18:18" ht="15.75" customHeight="1">
      <c r="R751" s="33"/>
    </row>
    <row r="752" spans="18:18" ht="15.75" customHeight="1">
      <c r="R752" s="33"/>
    </row>
    <row r="753" spans="18:18" ht="15.75" customHeight="1">
      <c r="R753" s="33"/>
    </row>
    <row r="754" spans="18:18" ht="15.75" customHeight="1">
      <c r="R754" s="33"/>
    </row>
    <row r="755" spans="18:18" ht="15.75" customHeight="1">
      <c r="R755" s="33"/>
    </row>
    <row r="756" spans="18:18" ht="15.75" customHeight="1">
      <c r="R756" s="33"/>
    </row>
    <row r="757" spans="18:18" ht="15.75" customHeight="1">
      <c r="R757" s="33"/>
    </row>
    <row r="758" spans="18:18" ht="15.75" customHeight="1">
      <c r="R758" s="33"/>
    </row>
    <row r="759" spans="18:18" ht="15.75" customHeight="1">
      <c r="R759" s="33"/>
    </row>
    <row r="760" spans="18:18" ht="15.75" customHeight="1">
      <c r="R760" s="33"/>
    </row>
    <row r="761" spans="18:18" ht="15.75" customHeight="1">
      <c r="R761" s="33"/>
    </row>
    <row r="762" spans="18:18" ht="15.75" customHeight="1">
      <c r="R762" s="33"/>
    </row>
    <row r="763" spans="18:18" ht="15.75" customHeight="1">
      <c r="R763" s="33"/>
    </row>
    <row r="764" spans="18:18" ht="15.75" customHeight="1">
      <c r="R764" s="33"/>
    </row>
    <row r="765" spans="18:18" ht="15.75" customHeight="1">
      <c r="R765" s="33"/>
    </row>
    <row r="766" spans="18:18" ht="15.75" customHeight="1">
      <c r="R766" s="33"/>
    </row>
    <row r="767" spans="18:18" ht="15.75" customHeight="1">
      <c r="R767" s="33"/>
    </row>
    <row r="768" spans="18:18" ht="15.75" customHeight="1">
      <c r="R768" s="33"/>
    </row>
    <row r="769" spans="18:18" ht="15.75" customHeight="1">
      <c r="R769" s="33"/>
    </row>
    <row r="770" spans="18:18" ht="15.75" customHeight="1">
      <c r="R770" s="33"/>
    </row>
    <row r="771" spans="18:18" ht="15.75" customHeight="1">
      <c r="R771" s="33"/>
    </row>
    <row r="772" spans="18:18" ht="15.75" customHeight="1">
      <c r="R772" s="33"/>
    </row>
    <row r="773" spans="18:18" ht="15.75" customHeight="1">
      <c r="R773" s="33"/>
    </row>
    <row r="774" spans="18:18" ht="15.75" customHeight="1">
      <c r="R774" s="33"/>
    </row>
    <row r="775" spans="18:18" ht="15.75" customHeight="1">
      <c r="R775" s="33"/>
    </row>
    <row r="776" spans="18:18" ht="15.75" customHeight="1">
      <c r="R776" s="33"/>
    </row>
    <row r="777" spans="18:18" ht="15.75" customHeight="1">
      <c r="R777" s="33"/>
    </row>
    <row r="778" spans="18:18" ht="15.75" customHeight="1">
      <c r="R778" s="33"/>
    </row>
    <row r="779" spans="18:18" ht="15.75" customHeight="1">
      <c r="R779" s="33"/>
    </row>
    <row r="780" spans="18:18" ht="15.75" customHeight="1">
      <c r="R780" s="33"/>
    </row>
    <row r="781" spans="18:18" ht="15.75" customHeight="1"/>
    <row r="782" spans="18:18" ht="15.75" customHeight="1"/>
    <row r="783" spans="18:18" ht="15.75" customHeight="1"/>
    <row r="784" spans="18:18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A1:D1"/>
    <mergeCell ref="E1:L1"/>
    <mergeCell ref="M1:O1"/>
    <mergeCell ref="P1:U1"/>
    <mergeCell ref="W1:Z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6484375" defaultRowHeight="15" customHeight="1"/>
  <cols>
    <col min="1" max="1" width="22" customWidth="1"/>
    <col min="2" max="2" width="70" customWidth="1"/>
    <col min="3" max="26" width="9.1328125" customWidth="1"/>
  </cols>
  <sheetData>
    <row r="1" spans="1:2" ht="24" customHeight="1">
      <c r="A1" s="46" t="s">
        <v>169</v>
      </c>
      <c r="B1" s="42"/>
    </row>
    <row r="2" spans="1:2" ht="21.75" customHeight="1">
      <c r="A2" s="34" t="s">
        <v>170</v>
      </c>
      <c r="B2" s="35" t="s">
        <v>171</v>
      </c>
    </row>
    <row r="3" spans="1:2" ht="30" customHeight="1">
      <c r="A3" s="36" t="s">
        <v>172</v>
      </c>
      <c r="B3" s="37" t="s">
        <v>173</v>
      </c>
    </row>
    <row r="4" spans="1:2" ht="21.75" customHeight="1">
      <c r="A4" s="34" t="s">
        <v>13</v>
      </c>
      <c r="B4" s="35" t="s">
        <v>174</v>
      </c>
    </row>
    <row r="5" spans="1:2" ht="21.75" customHeight="1">
      <c r="A5" s="36" t="s">
        <v>14</v>
      </c>
      <c r="B5" s="37" t="s">
        <v>175</v>
      </c>
    </row>
    <row r="6" spans="1:2" ht="21.75" customHeight="1">
      <c r="A6" s="34" t="s">
        <v>15</v>
      </c>
      <c r="B6" s="35" t="s">
        <v>176</v>
      </c>
    </row>
    <row r="7" spans="1:2" ht="21.75" customHeight="1">
      <c r="A7" s="36" t="s">
        <v>16</v>
      </c>
      <c r="B7" s="37" t="s">
        <v>177</v>
      </c>
    </row>
    <row r="8" spans="1:2" ht="21.75" customHeight="1">
      <c r="A8" s="34" t="s">
        <v>17</v>
      </c>
      <c r="B8" s="35" t="s">
        <v>178</v>
      </c>
    </row>
    <row r="9" spans="1:2" ht="21.75" customHeight="1">
      <c r="A9" s="36" t="s">
        <v>18</v>
      </c>
      <c r="B9" s="37" t="s">
        <v>179</v>
      </c>
    </row>
    <row r="10" spans="1:2" ht="30" customHeight="1">
      <c r="A10" s="34" t="s">
        <v>19</v>
      </c>
      <c r="B10" s="35" t="s">
        <v>180</v>
      </c>
    </row>
    <row r="11" spans="1:2" ht="21.75" customHeight="1">
      <c r="A11" s="36" t="s">
        <v>20</v>
      </c>
      <c r="B11" s="37" t="s">
        <v>181</v>
      </c>
    </row>
    <row r="12" spans="1:2" ht="21.75" customHeight="1">
      <c r="A12" s="34" t="s">
        <v>21</v>
      </c>
      <c r="B12" s="35" t="s">
        <v>182</v>
      </c>
    </row>
    <row r="13" spans="1:2" ht="30" customHeight="1">
      <c r="A13" s="36" t="s">
        <v>22</v>
      </c>
      <c r="B13" s="37" t="s">
        <v>183</v>
      </c>
    </row>
    <row r="14" spans="1:2" ht="21.75" customHeight="1">
      <c r="A14" s="34" t="s">
        <v>23</v>
      </c>
      <c r="B14" s="35" t="s">
        <v>184</v>
      </c>
    </row>
    <row r="15" spans="1:2" ht="21.75" customHeight="1">
      <c r="A15" s="36" t="s">
        <v>27</v>
      </c>
      <c r="B15" s="37" t="s">
        <v>185</v>
      </c>
    </row>
    <row r="16" spans="1:2" ht="21.75" customHeight="1">
      <c r="A16" s="34" t="s">
        <v>28</v>
      </c>
      <c r="B16" s="35" t="s">
        <v>186</v>
      </c>
    </row>
    <row r="17" spans="1:2" ht="21.75" customHeight="1">
      <c r="A17" s="38" t="s">
        <v>187</v>
      </c>
      <c r="B17" s="38"/>
    </row>
    <row r="18" spans="1:2" ht="30" customHeight="1">
      <c r="A18" s="34" t="s">
        <v>30</v>
      </c>
      <c r="B18" s="35" t="s">
        <v>188</v>
      </c>
    </row>
    <row r="19" spans="1:2" ht="21.75" customHeight="1">
      <c r="A19" s="36" t="s">
        <v>31</v>
      </c>
      <c r="B19" s="37" t="s">
        <v>189</v>
      </c>
    </row>
    <row r="20" spans="1:2" ht="21.75" customHeight="1">
      <c r="A20" s="34" t="s">
        <v>32</v>
      </c>
      <c r="B20" s="35" t="s">
        <v>190</v>
      </c>
    </row>
    <row r="21" spans="1:2" ht="21.75" customHeight="1">
      <c r="A21" s="36" t="s">
        <v>33</v>
      </c>
      <c r="B21" s="37" t="s">
        <v>191</v>
      </c>
    </row>
    <row r="22" spans="1:2" ht="21.75" customHeight="1">
      <c r="A22" s="34" t="s">
        <v>34</v>
      </c>
      <c r="B22" s="35" t="s">
        <v>192</v>
      </c>
    </row>
    <row r="23" spans="1:2" ht="21.75" customHeight="1">
      <c r="A23" s="39" t="s">
        <v>193</v>
      </c>
      <c r="B23" s="39"/>
    </row>
    <row r="24" spans="1:2" ht="21.75" customHeight="1">
      <c r="A24" s="34" t="s">
        <v>194</v>
      </c>
      <c r="B24" s="35" t="s">
        <v>195</v>
      </c>
    </row>
    <row r="25" spans="1:2" ht="21.75" customHeight="1">
      <c r="A25" s="36" t="s">
        <v>196</v>
      </c>
      <c r="B25" s="37" t="s">
        <v>197</v>
      </c>
    </row>
    <row r="26" spans="1:2" ht="30" customHeight="1">
      <c r="A26" s="34" t="s">
        <v>198</v>
      </c>
      <c r="B26" s="35" t="s">
        <v>199</v>
      </c>
    </row>
    <row r="27" spans="1:2" ht="21.75" customHeight="1">
      <c r="A27" s="36" t="s">
        <v>200</v>
      </c>
      <c r="B27" s="37" t="s">
        <v>201</v>
      </c>
    </row>
    <row r="28" spans="1:2" ht="21.75" customHeight="1">
      <c r="A28" s="34" t="s">
        <v>202</v>
      </c>
      <c r="B28" s="35" t="s">
        <v>203</v>
      </c>
    </row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Katia Bouquet</cp:lastModifiedBy>
  <dcterms:created xsi:type="dcterms:W3CDTF">2026-05-06T11:38:34Z</dcterms:created>
  <dcterms:modified xsi:type="dcterms:W3CDTF">2026-06-06T10:06:24Z</dcterms:modified>
</cp:coreProperties>
</file>